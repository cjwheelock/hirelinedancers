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7185a575a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reach List" sheetId="1" r:id="Rfea1c0327de744e0"/>
    <x:sheet xmlns:r="http://schemas.openxmlformats.org/officeDocument/2006/relationships" name="Summary" sheetId="2" r:id="Rb0d2009ddedf4929"/>
    <x:sheet xmlns:r="http://schemas.openxmlformats.org/officeDocument/2006/relationships" name="Audience Map" sheetId="3" r:id="Rca45cee774994d18"/>
    <x:sheet xmlns:r="http://schemas.openxmlformats.org/officeDocument/2006/relationships" name="Tools &amp; Workflow" sheetId="4" r:id="R089269c78126478a"/>
    <x:sheet xmlns:r="http://schemas.openxmlformats.org/officeDocument/2006/relationships" name="Instructor Content" sheetId="5" r:id="R7b4dd0bbccbf430b"/>
    <x:sheet xmlns:r="http://schemas.openxmlformats.org/officeDocument/2006/relationships" name="DJ Research Queue" sheetId="6" r:id="R27295feeb45444c3"/>
  </x:sheets>
</x:workbook>
</file>

<file path=xl/sharedStrings.xml><?xml version="1.0" encoding="utf-8"?>
<x:sst xmlns:x="http://schemas.openxmlformats.org/spreadsheetml/2006/main">
  <x:si>
    <x:t xml:space="preserve">Company</x:t>
  </x:si>
  <x:si>
    <x:t xml:space="preserve">Category</x:t>
  </x:si>
  <x:si>
    <x:t xml:space="preserve">City</x:t>
  </x:si>
  <x:si>
    <x:t xml:space="preserve">State</x:t>
  </x:si>
  <x:si>
    <x:t xml:space="preserve">Website</x:t>
  </x:si>
  <x:si>
    <x:t xml:space="preserve">Phone / Email</x:t>
  </x:si>
  <x:si>
    <x:t xml:space="preserve">Notes</x:t>
  </x:si>
  <x:si>
    <x:t xml:space="preserve">Status</x:t>
  </x:si>
  <x:si>
    <x:t xml:space="preserve">Last Contacted</x:t>
  </x:si>
  <x:si>
    <x:t xml:space="preserve">Fête Nashville</x:t>
  </x:si>
  <x:si>
    <x:t xml:space="preserve">Wedding planner</x:t>
  </x:si>
  <x:si>
    <x:t xml:space="preserve">Nashville</x:t>
  </x:si>
  <x:si>
    <x:t xml:space="preserve">TN</x:t>
  </x:si>
  <x:si>
    <x:t xml:space="preserve">https://fetenashville.com</x:t>
  </x:si>
  <x:si>
    <x:t xml:space="preserve">Luxury wedding planning firm, 15+ yrs</x:t>
  </x:si>
  <x:si>
    <x:t xml:space="preserve">Not contacted</x:t>
  </x:si>
  <x:si>
    <x:t xml:space="preserve">Laurie D'Anne Events</x:t>
  </x:si>
  <x:si>
    <x:t xml:space="preserve">https://lauriedeanneevents.com</x:t>
  </x:si>
  <x:si>
    <x:t xml:space="preserve">Luxury weddings + corporate, 17+ yrs</x:t>
  </x:si>
  <x:si>
    <x:t xml:space="preserve">AmosEvents</x:t>
  </x:si>
  <x:si>
    <x:t xml:space="preserve">Award-winning; weddings, corporate, galas</x:t>
  </x:si>
  <x:si>
    <x:t xml:space="preserve">H Three Events</x:t>
  </x:si>
  <x:si>
    <x:t xml:space="preserve">Weddings, corporate, parties (Hugh Howser)</x:t>
  </x:si>
  <x:si>
    <x:t xml:space="preserve">Magnolia Wedding Company</x:t>
  </x:si>
  <x:si>
    <x:t xml:space="preserve">Full-service wedding planning</x:t>
  </x:si>
  <x:si>
    <x:t xml:space="preserve">Southern Bella Events</x:t>
  </x:si>
  <x:si>
    <x:t xml:space="preserve">Middle TN weddings (Franklin, Leiper's Fork)</x:t>
  </x:si>
  <x:si>
    <x:t xml:space="preserve">Siena &amp; Co. Events</x:t>
  </x:si>
  <x:si>
    <x:t xml:space="preserve">Middle TN weddings</x:t>
  </x:si>
  <x:si>
    <x:t xml:space="preserve">Vision in White Events</x:t>
  </x:si>
  <x:si>
    <x:t xml:space="preserve">Wedding/event coordination team</x:t>
  </x:si>
  <x:si>
    <x:t xml:space="preserve">Big Events, Inc.</x:t>
  </x:si>
  <x:si>
    <x:t xml:space="preserve">Event planner / DMC</x:t>
  </x:si>
  <x:si>
    <x:t xml:space="preserve">https://bigeventsinc.com</x:t>
  </x:si>
  <x:si>
    <x:t xml:space="preserve">Corporate event planning + DMC, 25+ yrs</x:t>
  </x:si>
  <x:si>
    <x:t xml:space="preserve">AMP Event Group (Nashville)</x:t>
  </x:si>
  <x:si>
    <x:t xml:space="preserve">https://amp-events.com</x:t>
  </x:si>
  <x:si>
    <x:t xml:space="preserve">DMC + corporate event production</x:t>
  </x:si>
  <x:si>
    <x:t xml:space="preserve">Music City Events</x:t>
  </x:si>
  <x:si>
    <x:t xml:space="preserve">https://musiccityevents.net</x:t>
  </x:si>
  <x:si>
    <x:t xml:space="preserve">Corporate conferences, retreats, incentives</x:t>
  </x:si>
  <x:si>
    <x:t xml:space="preserve">Cohera</x:t>
  </x:si>
  <x:si>
    <x:t xml:space="preserve">https://meetcohera.com</x:t>
  </x:si>
  <x:si>
    <x:t xml:space="preserve">Destination event planning, corporate retreats</x:t>
  </x:si>
  <x:si>
    <x:t xml:space="preserve">Well-Planned Events</x:t>
  </x:si>
  <x:si>
    <x:t xml:space="preserve">https://wellplannedevents.com</x:t>
  </x:si>
  <x:si>
    <x:t xml:space="preserve">Destination management, custom hospitality</x:t>
  </x:si>
  <x:si>
    <x:t xml:space="preserve">Latitude Longitude DMC</x:t>
  </x:si>
  <x:si>
    <x:t xml:space="preserve">https://bycrave.com</x:t>
  </x:si>
  <x:si>
    <x:t xml:space="preserve">DMC; conventions, corporate, weddings</x:t>
  </x:si>
  <x:si>
    <x:t xml:space="preserve">Destination Musick City</x:t>
  </x:si>
  <x:si>
    <x:t xml:space="preserve">https://destinationmusickcity.com</x:t>
  </x:si>
  <x:si>
    <x:t xml:space="preserve">Full-service DMC</x:t>
  </x:si>
  <x:si>
    <x:t xml:space="preserve">The Nashville Booking Agency</x:t>
  </x:si>
  <x:si>
    <x:t xml:space="preserve">Entertainment agency</x:t>
  </x:si>
  <x:si>
    <x:t xml:space="preserve">https://nashvillebookingagency.com</x:t>
  </x:si>
  <x:si>
    <x:t xml:space="preserve">Books talent for corporate/private events</x:t>
  </x:si>
  <x:si>
    <x:t xml:space="preserve">EastCoast Entertainment (Nashville)</x:t>
  </x:si>
  <x:si>
    <x:t xml:space="preserve">https://bookece.com</x:t>
  </x:si>
  <x:si>
    <x:t xml:space="preserve">Large agency; weddings + corporate</x:t>
  </x:si>
  <x:si>
    <x:t xml:space="preserve">Tsunami Entertainment</x:t>
  </x:si>
  <x:si>
    <x:t xml:space="preserve">https://tsunamientertainment.com</x:t>
  </x:si>
  <x:si>
    <x:t xml:space="preserve">Weddings, holiday parties, corporate</x:t>
  </x:si>
  <x:si>
    <x:t xml:space="preserve">Spangler Entertainment</x:t>
  </x:si>
  <x:si>
    <x:t xml:space="preserve">https://spanglerentertainment.com</x:t>
  </x:si>
  <x:si>
    <x:t xml:space="preserve">Event production; books live entertainment</x:t>
  </x:si>
  <x:si>
    <x:t xml:space="preserve">Premier | The Entertainment Company</x:t>
  </x:si>
  <x:si>
    <x:t xml:space="preserve">https://requestpremier.com</x:t>
  </x:si>
  <x:si>
    <x:t xml:space="preserve">30 yrs; weddings, corporate, private</x:t>
  </x:si>
  <x:si>
    <x:t xml:space="preserve">Fête Fort Worth</x:t>
  </x:si>
  <x:si>
    <x:t xml:space="preserve">Fort Worth</x:t>
  </x:si>
  <x:si>
    <x:t xml:space="preserve">TX</x:t>
  </x:si>
  <x:si>
    <x:t xml:space="preserve">https://fetefw.com</x:t>
  </x:si>
  <x:si>
    <x:t xml:space="preserve">Luxury wedding planning</x:t>
  </x:si>
  <x:si>
    <x:t xml:space="preserve">Each &amp; Every Detail</x:t>
  </x:si>
  <x:si>
    <x:t xml:space="preserve">https://eachandeverydetail.com</x:t>
  </x:si>
  <x:si>
    <x:t xml:space="preserve">Weddings + corporate across DFW</x:t>
  </x:si>
  <x:si>
    <x:t xml:space="preserve">Sarabeth &amp; Co.</x:t>
  </x:si>
  <x:si>
    <x:t xml:space="preserve">https://sarabethandco.com</x:t>
  </x:si>
  <x:si>
    <x:t xml:space="preserve">Luxury weddings, corporate, celebrations</x:t>
  </x:si>
  <x:si>
    <x:t xml:space="preserve">Lovely Event Co.</x:t>
  </x:si>
  <x:si>
    <x:t xml:space="preserve">https://lovelyeventco.com</x:t>
  </x:si>
  <x:si>
    <x:t xml:space="preserve">Dallas + Fort Worth weddings</x:t>
  </x:si>
  <x:si>
    <x:t xml:space="preserve">Everything Bridal</x:t>
  </x:si>
  <x:si>
    <x:t xml:space="preserve">Multi-tier wedding planning</x:t>
  </x:si>
  <x:si>
    <x:t xml:space="preserve">Treasured Heart Events</x:t>
  </x:si>
  <x:si>
    <x:t xml:space="preserve">Boutique wedding planning</x:t>
  </x:si>
  <x:si>
    <x:t xml:space="preserve">Wineglass Events</x:t>
  </x:si>
  <x:si>
    <x:t xml:space="preserve">Weddings since 2000</x:t>
  </x:si>
  <x:si>
    <x:t xml:space="preserve">Morgan Taylor Events</x:t>
  </x:si>
  <x:si>
    <x:t xml:space="preserve">Wedding planning</x:t>
  </x:si>
  <x:si>
    <x:t xml:space="preserve">Perstefani's Weddings &amp; Events</x:t>
  </x:si>
  <x:si>
    <x:t xml:space="preserve">Weddings + celebrations</x:t>
  </x:si>
  <x:si>
    <x:t xml:space="preserve">Sunshine and Moonlight Events</x:t>
  </x:si>
  <x:si>
    <x:t xml:space="preserve">Weddings, corporate meetings, nonprofits</x:t>
  </x:si>
  <x:si>
    <x:t xml:space="preserve">CM Promotions</x:t>
  </x:si>
  <x:si>
    <x:t xml:space="preserve">https://cmpromotions.co</x:t>
  </x:si>
  <x:si>
    <x:t xml:space="preserve">DFW weddings + corporate packages</x:t>
  </x:si>
  <x:si>
    <x:t xml:space="preserve">Total Events DFW</x:t>
  </x:si>
  <x:si>
    <x:t xml:space="preserve">https://totaleventsdfw.com</x:t>
  </x:si>
  <x:si>
    <x:t xml:space="preserve">20+ yrs; corporate; books entertainment</x:t>
  </x:si>
  <x:si>
    <x:t xml:space="preserve">Brilliant Events, Inc.</x:t>
  </x:si>
  <x:si>
    <x:t xml:space="preserve">https://brillianteventsinc.com</x:t>
  </x:si>
  <x:si>
    <x:t xml:space="preserve">Corporate parties across major TX cities</x:t>
  </x:si>
  <x:si>
    <x:t xml:space="preserve">B3 Entertainment Productions</x:t>
  </x:si>
  <x:si>
    <x:t xml:space="preserve">https://b3talent.com</x:t>
  </x:si>
  <x:si>
    <x:t xml:space="preserve">Performers for DFW corporate/private events</x:t>
  </x:si>
  <x:si>
    <x:t xml:space="preserve">THEY improv (DFW)</x:t>
  </x:si>
  <x:si>
    <x:t xml:space="preserve">https://theyimprov.com</x:t>
  </x:si>
  <x:si>
    <x:t xml:space="preserve">Comedy/game-show corporate entertainment</x:t>
  </x:si>
  <x:si>
    <x:t xml:space="preserve">Interactive Entertainment Group (DFW)</x:t>
  </x:si>
  <x:si>
    <x:t xml:space="preserve">https://interactiveparty.com</x:t>
  </x:si>
  <x:si>
    <x:t xml:space="preserve">Interactive corporate entertainment, full metroplex</x:t>
  </x:si>
  <x:si>
    <x:t xml:space="preserve">Pearl Events Austin</x:t>
  </x:si>
  <x:si>
    <x:t xml:space="preserve">Austin</x:t>
  </x:si>
  <x:si>
    <x:t xml:space="preserve">Top-rated Austin wedding planning</x:t>
  </x:si>
  <x:si>
    <x:t xml:space="preserve">Austin Weddings by Corinna</x:t>
  </x:si>
  <x:si>
    <x:t xml:space="preserve">CWP-certified; corporate background</x:t>
  </x:si>
  <x:si>
    <x:t xml:space="preserve">Malleret Designs</x:t>
  </x:si>
  <x:si>
    <x:t xml:space="preserve">Luxury weddings; Austin + destination</x:t>
  </x:si>
  <x:si>
    <x:t xml:space="preserve">Yellow Umbrella Events &amp; Design</x:t>
  </x:si>
  <x:si>
    <x:t xml:space="preserve">Weddings, corporate, parties</x:t>
  </x:si>
  <x:si>
    <x:t xml:space="preserve">Toast Entertainment (Austin)</x:t>
  </x:si>
  <x:si>
    <x:t xml:space="preserve">https://toastent.com</x:t>
  </x:si>
  <x:si>
    <x:t xml:space="preserve">Wedding coordination + DJ/entertainment</x:t>
  </x:si>
  <x:si>
    <x:t xml:space="preserve">Plan On It</x:t>
  </x:si>
  <x:si>
    <x:t xml:space="preserve">https://eventagency.planonitatx.com</x:t>
  </x:si>
  <x:si>
    <x:t xml:space="preserve">Corporate event planners + Austin DMC</x:t>
  </x:si>
  <x:si>
    <x:t xml:space="preserve">Fifth Street DMC</x:t>
  </x:si>
  <x:si>
    <x:t xml:space="preserve">https://fifthstreetdmc.com</x:t>
  </x:si>
  <x:si>
    <x:t xml:space="preserve">Austin's leading DMC since 1999; books entertainment</x:t>
  </x:si>
  <x:si>
    <x:t xml:space="preserve">Greater Austin Events</x:t>
  </x:si>
  <x:si>
    <x:t xml:space="preserve">Corporate + private; live entertainment</x:t>
  </x:si>
  <x:si>
    <x:t xml:space="preserve">LennsFest Events</x:t>
  </x:si>
  <x:si>
    <x:t xml:space="preserve">Corporate, sporting, social events</x:t>
  </x:si>
  <x:si>
    <x:t xml:space="preserve">Austin's Elite Events</x:t>
  </x:si>
  <x:si>
    <x:t xml:space="preserve">https://wehelpyouparty.com</x:t>
  </x:si>
  <x:si>
    <x:t xml:space="preserve">Party/event services</x:t>
  </x:si>
  <x:si>
    <x:t xml:space="preserve">Event Production Services</x:t>
  </x:si>
  <x:si>
    <x:t xml:space="preserve">https://epstx.net</x:t>
  </x:si>
  <x:si>
    <x:t xml:space="preserve">Production + talent booking (ACL, Austin FC)</x:t>
  </x:si>
  <x:si>
    <x:t xml:space="preserve">Bash ATX</x:t>
  </x:si>
  <x:si>
    <x:t xml:space="preserve">Party &amp; event planning</x:t>
  </x:si>
  <x:si>
    <x:t xml:space="preserve">Clearly Classy Events</x:t>
  </x:si>
  <x:si>
    <x:t xml:space="preserve">Altus Entertainment (Austin)</x:t>
  </x:si>
  <x:si>
    <x:t xml:space="preserve">https://altusentertainment.com</x:t>
  </x:si>
  <x:si>
    <x:t xml:space="preserve">Talent agency; booking + live event mgmt</x:t>
  </x:si>
  <x:si>
    <x:t xml:space="preserve">Keestone Events</x:t>
  </x:si>
  <x:si>
    <x:t xml:space="preserve">Dallas</x:t>
  </x:si>
  <x:si>
    <x:t xml:space="preserve">https://keestoneevents.com</x:t>
  </x:si>
  <x:si>
    <x:t xml:space="preserve">Luxury weddings + corporate since 2013</x:t>
  </x:si>
  <x:si>
    <x:t xml:space="preserve">Significant Events of Texas</x:t>
  </x:si>
  <x:si>
    <x:t xml:space="preserve">https://significanteventsoftexas.com</x:t>
  </x:si>
  <x:si>
    <x:t xml:space="preserve">Weddings + events since 2010</x:t>
  </x:si>
  <x:si>
    <x:t xml:space="preserve">Complete Weddings + Events (Dallas)</x:t>
  </x:si>
  <x:si>
    <x:t xml:space="preserve">Weddings; DJ, photo, coordination</x:t>
  </x:si>
  <x:si>
    <x:t xml:space="preserve">Bespoke Life</x:t>
  </x:si>
  <x:si>
    <x:t xml:space="preserve">https://bespokelifeco.com</x:t>
  </x:si>
  <x:si>
    <x:t xml:space="preserve">Luxury private + executive events</x:t>
  </x:si>
  <x:si>
    <x:t xml:space="preserve">BRB Event Management</x:t>
  </x:si>
  <x:si>
    <x:t xml:space="preserve">Corporate; Fortune 500 clients</x:t>
  </x:si>
  <x:si>
    <x:t xml:space="preserve">Social Llama Events</x:t>
  </x:si>
  <x:si>
    <x:t xml:space="preserve">Experiential design/production (Richardson)</x:t>
  </x:si>
  <x:si>
    <x:t xml:space="preserve">Trifecta Event Management</x:t>
  </x:si>
  <x:si>
    <x:t xml:space="preserve">Corporate consulting + management</x:t>
  </x:si>
  <x:si>
    <x:t xml:space="preserve">Shreeda Events</x:t>
  </x:si>
  <x:si>
    <x:t xml:space="preserve">https://shreedaevents.com</x:t>
  </x:si>
  <x:si>
    <x:t xml:space="preserve">Corporate + wedding planning</x:t>
  </x:si>
  <x:si>
    <x:t xml:space="preserve">RM Events</x:t>
  </x:si>
  <x:si>
    <x:t xml:space="preserve">Destination + corporate events</x:t>
  </x:si>
  <x:si>
    <x:t xml:space="preserve">J.Shay Event Solutions</x:t>
  </x:si>
  <x:si>
    <x:t xml:space="preserve">Corporate agency; conferences, incentives</x:t>
  </x:si>
  <x:si>
    <x:t xml:space="preserve">The Event Lounge</x:t>
  </x:si>
  <x:si>
    <x:t xml:space="preserve">Corporate full-service incl. activations</x:t>
  </x:si>
  <x:si>
    <x:t xml:space="preserve">Applause Productions</x:t>
  </x:si>
  <x:si>
    <x:t xml:space="preserve">https://applauseproductions.com</x:t>
  </x:si>
  <x:si>
    <x:t xml:space="preserve">Entertainment + full-service agency</x:t>
  </x:si>
  <x:si>
    <x:t xml:space="preserve">Mark Sonder Productions (Dallas)</x:t>
  </x:si>
  <x:si>
    <x:t xml:space="preserve">https://marksonderproductions.com</x:t>
  </x:si>
  <x:si>
    <x:t xml:space="preserve">Corporate talent booking, 40+ yrs</x:t>
  </x:si>
  <x:si>
    <x:t xml:space="preserve">Bravo Entertainment</x:t>
  </x:si>
  <x:si>
    <x:t xml:space="preserve">https://bravoentertainment.com</x:t>
  </x:si>
  <x:si>
    <x:t xml:space="preserve">35 yrs; corporate + DMC productions</x:t>
  </x:si>
  <x:si>
    <x:t xml:space="preserve">45 Collective</x:t>
  </x:si>
  <x:si>
    <x:t xml:space="preserve">https://45collective.com</x:t>
  </x:si>
  <x:si>
    <x:t xml:space="preserve">Premium booking; galas, activations</x:t>
  </x:si>
  <x:si>
    <x:t xml:space="preserve">Two Be Wed</x:t>
  </x:si>
  <x:si>
    <x:t xml:space="preserve">Houston</x:t>
  </x:si>
  <x:si>
    <x:t xml:space="preserve">Voted top wedding planner in Texas (Brides)</x:t>
  </x:si>
  <x:si>
    <x:t xml:space="preserve">Elias Events</x:t>
  </x:si>
  <x:si>
    <x:t xml:space="preserve">Premier planner since 1998; HBJ Top Ten</x:t>
  </x:si>
  <x:si>
    <x:t xml:space="preserve">Belle Events</x:t>
  </x:si>
  <x:si>
    <x:t xml:space="preserve">https://belleevents.com</x:t>
  </x:si>
  <x:si>
    <x:t xml:space="preserve">Luxury events 20+ yrs; weddings + corporate</x:t>
  </x:si>
  <x:si>
    <x:t xml:space="preserve">The Majestic Wedding</x:t>
  </x:si>
  <x:si>
    <x:t xml:space="preserve">Wedding coordination + vendor network</x:t>
  </x:si>
  <x:si>
    <x:t xml:space="preserve">Sullivan Group</x:t>
  </x:si>
  <x:si>
    <x:t xml:space="preserve">Event marketing, meetings, DMC needs</x:t>
  </x:si>
  <x:si>
    <x:t xml:space="preserve">Houston Event Planning</x:t>
  </x:si>
  <x:si>
    <x:t xml:space="preserve">https://houstoneventplanning.com</x:t>
  </x:si>
  <x:si>
    <x:t xml:space="preserve">Turnkey corporate, weddings, casino parties</x:t>
  </x:si>
  <x:si>
    <x:t xml:space="preserve">Coterie Spark</x:t>
  </x:si>
  <x:si>
    <x:t xml:space="preserve">Meetings, conferences, incentive travel</x:t>
  </x:si>
  <x:si>
    <x:t xml:space="preserve">Turn To Productions</x:t>
  </x:si>
  <x:si>
    <x:t xml:space="preserve">Event production, entertainment focus</x:t>
  </x:si>
  <x:si>
    <x:t xml:space="preserve">The Trade Entertainment</x:t>
  </x:si>
  <x:si>
    <x:t xml:space="preserve">https://thetradeentertainment.com</x:t>
  </x:si>
  <x:si>
    <x:t xml:space="preserve">20+ yrs; books specialty + interactive acts</x:t>
  </x:si>
  <x:si>
    <x:t xml:space="preserve">Show Business Entertainment</x:t>
  </x:si>
  <x:si>
    <x:t xml:space="preserve">https://showbusinessonline.com</x:t>
  </x:si>
  <x:si>
    <x:t xml:space="preserve">Since 1982; bands, DJs, variety acts</x:t>
  </x:si>
  <x:si>
    <x:t xml:space="preserve">Gulf Coast Entertainment</x:t>
  </x:si>
  <x:si>
    <x:t xml:space="preserve">https://gulfcoastentertainment.com</x:t>
  </x:si>
  <x:si>
    <x:t xml:space="preserve">45+ yrs; weddings a specialty</x:t>
  </x:si>
  <x:si>
    <x:t xml:space="preserve">EastCoast Entertainment (Houston)</x:t>
  </x:si>
  <x:si>
    <x:t xml:space="preserve">Works with top Houston venues/clubs</x:t>
  </x:si>
  <x:si>
    <x:t xml:space="preserve">Headline Booking (Houston)</x:t>
  </x:si>
  <x:si>
    <x:t xml:space="preserve">https://headlinebooking.com</x:t>
  </x:si>
  <x:si>
    <x:t xml:space="preserve">Corporate + private event booking</x:t>
  </x:si>
  <x:si>
    <x:t xml:space="preserve">Entertainment Houston (Adams &amp; Green)</x:t>
  </x:si>
  <x:si>
    <x:t xml:space="preserve">https://entertainmenthouston.com</x:t>
  </x:si>
  <x:si>
    <x:t xml:space="preserve">Party bands + entertainment since 1972</x:t>
  </x:si>
  <x:si>
    <x:t xml:space="preserve">Houston Luxury Events</x:t>
  </x:si>
  <x:si>
    <x:t xml:space="preserve">https://houstonluxuryevents.com</x:t>
  </x:si>
  <x:si>
    <x:t xml:space="preserve">Wedding + corporate DJs/entertainment</x:t>
  </x:si>
  <x:si>
    <x:t xml:space="preserve">Calluna Events</x:t>
  </x:si>
  <x:si>
    <x:t xml:space="preserve">Denver</x:t>
  </x:si>
  <x:si>
    <x:t xml:space="preserve">CO</x:t>
  </x:si>
  <x:si>
    <x:t xml:space="preserve">https://callunaevents.com</x:t>
  </x:si>
  <x:si>
    <x:t xml:space="preserve">Denver/Boulder + destination weddings</x:t>
  </x:si>
  <x:si>
    <x:t xml:space="preserve">Pink Champagne Events</x:t>
  </x:si>
  <x:si>
    <x:t xml:space="preserve">https://pinkchampagneevents.com</x:t>
  </x:si>
  <x:si>
    <x:t xml:space="preserve">Luxury weddings; Denver, Vail, Aspen</x:t>
  </x:si>
  <x:si>
    <x:t xml:space="preserve">The Married Co.</x:t>
  </x:si>
  <x:si>
    <x:t xml:space="preserve">CO/WY + destination weddings</x:t>
  </x:si>
  <x:si>
    <x:t xml:space="preserve">Peak Perfection</x:t>
  </x:si>
  <x:si>
    <x:t xml:space="preserve">https://peakperfection.com</x:t>
  </x:si>
  <x:si>
    <x:t xml:space="preserve">Weddings + corporate, mountain destinations</x:t>
  </x:si>
  <x:si>
    <x:t xml:space="preserve">MAG Events</x:t>
  </x:si>
  <x:si>
    <x:t xml:space="preserve">https://mag-events.com</x:t>
  </x:si>
  <x:si>
    <x:t xml:space="preserve">Full-service; weddings + corporate + floral</x:t>
  </x:si>
  <x:si>
    <x:t xml:space="preserve">John Tobey Events</x:t>
  </x:si>
  <x:si>
    <x:t xml:space="preserve">https://johntobeyevents.com</x:t>
  </x:si>
  <x:si>
    <x:t xml:space="preserve">Luxury weddings, galas, corporate</x:t>
  </x:si>
  <x:si>
    <x:t xml:space="preserve">RMC (Rocky Mountain Connections)</x:t>
  </x:si>
  <x:si>
    <x:t xml:space="preserve">https://rmcdmc.com</x:t>
  </x:si>
  <x:si>
    <x:t xml:space="preserve">Destination event management</x:t>
  </x:si>
  <x:si>
    <x:t xml:space="preserve">Mountain Occasions</x:t>
  </x:si>
  <x:si>
    <x:t xml:space="preserve">Corporate + luxury; international destination</x:t>
  </x:si>
  <x:si>
    <x:t xml:space="preserve">Talent Denver</x:t>
  </x:si>
  <x:si>
    <x:t xml:space="preserve">https://talentdenver.com</x:t>
  </x:si>
  <x:si>
    <x:t xml:space="preserve">(303) 578-9463</x:t>
  </x:si>
  <x:si>
    <x:t xml:space="preserve">30+ yrs talent agency + event coordination</x:t>
  </x:si>
  <x:si>
    <x:t xml:space="preserve">Interaction Denver</x:t>
  </x:si>
  <x:si>
    <x:t xml:space="preserve">https://interactiondenver.com</x:t>
  </x:si>
  <x:si>
    <x:t xml:space="preserve">letsrock@interactiondenver.com</x:t>
  </x:si>
  <x:si>
    <x:t xml:space="preserve">Corporate DJ/emcee, casino nights, 35+ yrs</x:t>
  </x:si>
  <x:si>
    <x:t xml:space="preserve">5 Star Talent &amp; Entertainment</x:t>
  </x:si>
  <x:si>
    <x:t xml:space="preserve">https://5staracts.com</x:t>
  </x:si>
  <x:si>
    <x:t xml:space="preserve">(303) 635-1210</x:t>
  </x:si>
  <x:si>
    <x:t xml:space="preserve">Speakers, emcees, acts for corporate</x:t>
  </x:si>
  <x:si>
    <x:t xml:space="preserve">Art of Air Entertainment</x:t>
  </x:si>
  <x:si>
    <x:t xml:space="preserve">https://artofairentertainment.com</x:t>
  </x:si>
  <x:si>
    <x:t xml:space="preserve">Experiential/specialty acts for corporate</x:t>
  </x:si>
  <x:si>
    <x:t xml:space="preserve">Interactive Entertainment Group (Denver)</x:t>
  </x:si>
  <x:si>
    <x:t xml:space="preserve">Team building + interactive corporate</x:t>
  </x:si>
  <x:si>
    <x:t xml:space="preserve">Moments Notice &amp; Company</x:t>
  </x:si>
  <x:si>
    <x:t xml:space="preserve">Entertainment for corporate dinners/events</x:t>
  </x:si>
  <x:si>
    <x:t xml:space="preserve">Sally Arnold Events</x:t>
  </x:si>
  <x:si>
    <x:t xml:space="preserve">Phoenix</x:t>
  </x:si>
  <x:si>
    <x:t xml:space="preserve">AZ</x:t>
  </x:si>
  <x:si>
    <x:t xml:space="preserve">https://sallyarnoldevents.com</x:t>
  </x:si>
  <x:si>
    <x:t xml:space="preserve">Top PHX/Scottsdale design + coordination</x:t>
  </x:si>
  <x:si>
    <x:t xml:space="preserve">Imoni Events</x:t>
  </x:si>
  <x:si>
    <x:t xml:space="preserve">AZ premier planner; social + corporate</x:t>
  </x:si>
  <x:si>
    <x:t xml:space="preserve">Revel Wedding Co.</x:t>
  </x:si>
  <x:si>
    <x:t xml:space="preserve">https://revelweddingco.com</x:t>
  </x:si>
  <x:si>
    <x:t xml:space="preserve">Scottsdale luxury weddings</x:t>
  </x:si>
  <x:si>
    <x:t xml:space="preserve">Laki Events + Design</x:t>
  </x:si>
  <x:si>
    <x:t xml:space="preserve">Scottsdale wedding planning</x:t>
  </x:si>
  <x:si>
    <x:t xml:space="preserve">Mandy Marie Events</x:t>
  </x:si>
  <x:si>
    <x:t xml:space="preserve">Luxury weddings, Scottsdale offices</x:t>
  </x:si>
  <x:si>
    <x:t xml:space="preserve">Ebeling Events</x:t>
  </x:si>
  <x:si>
    <x:t xml:space="preserve">https://ebelingevents.com</x:t>
  </x:si>
  <x:si>
    <x:t xml:space="preserve">Weddings across Arizona</x:t>
  </x:si>
  <x:si>
    <x:t xml:space="preserve">Gatherings by Elle</x:t>
  </x:si>
  <x:si>
    <x:t xml:space="preserve">Scottsdale/PHX full-service weddings</x:t>
  </x:si>
  <x:si>
    <x:t xml:space="preserve">Party Masters Events + Services</x:t>
  </x:si>
  <x:si>
    <x:t xml:space="preserve">https://partymastersaz.com</x:t>
  </x:si>
  <x:si>
    <x:t xml:space="preserve">Corporate + weddings since 2004; music ent.</x:t>
  </x:si>
  <x:si>
    <x:t xml:space="preserve">Destination Arizona</x:t>
  </x:si>
  <x:si>
    <x:t xml:space="preserve">https://destariz.com</x:t>
  </x:si>
  <x:si>
    <x:t xml:space="preserve">DMC; conferences incl. entertainment booking</x:t>
  </x:si>
  <x:si>
    <x:t xml:space="preserve">MES Event Group</x:t>
  </x:si>
  <x:si>
    <x:t xml:space="preserve">Corporate, activations, galas</x:t>
  </x:si>
  <x:si>
    <x:t xml:space="preserve">Centric Events</x:t>
  </x:si>
  <x:si>
    <x:t xml:space="preserve">https://centric.events</x:t>
  </x:si>
  <x:si>
    <x:t xml:space="preserve">Event production PHX/Scottsdale</x:t>
  </x:si>
  <x:si>
    <x:t xml:space="preserve">Onstage Entertainment Group</x:t>
  </x:si>
  <x:si>
    <x:t xml:space="preserve">https://onstage.biz</x:t>
  </x:si>
  <x:si>
    <x:t xml:space="preserve">Books live music/DJs for resorts + corporate</x:t>
  </x:si>
  <x:si>
    <x:t xml:space="preserve">Scottsdale Music &amp; Entertainment</x:t>
  </x:si>
  <x:si>
    <x:t xml:space="preserve">https://scottsdaleme.com</x:t>
  </x:si>
  <x:si>
    <x:t xml:space="preserve">Resort corporate entertainment since 1997</x:t>
  </x:si>
  <x:si>
    <x:t xml:space="preserve">Interactive Entertainment Group (PHX)</x:t>
  </x:si>
  <x:si>
    <x:t xml:space="preserve">Interactive corporate entertainment</x:t>
  </x:si>
  <x:si>
    <x:t xml:space="preserve">TOAST Events (Atlanta)</x:t>
  </x:si>
  <x:si>
    <x:t xml:space="preserve">Atlanta</x:t>
  </x:si>
  <x:si>
    <x:t xml:space="preserve">GA</x:t>
  </x:si>
  <x:si>
    <x:t xml:space="preserve">Nationally noted planner (Vogue, Southern Living)</x:t>
  </x:si>
  <x:si>
    <x:t xml:space="preserve">Fête &amp; Figs</x:t>
  </x:si>
  <x:si>
    <x:t xml:space="preserve">Wedding planning (Amanda Oldeen)</x:t>
  </x:si>
  <x:si>
    <x:t xml:space="preserve">Browne &amp; Towers</x:t>
  </x:si>
  <x:si>
    <x:t xml:space="preserve">Boutique; weddings + corporate, ATL/NYC</x:t>
  </x:si>
  <x:si>
    <x:t xml:space="preserve">Main Event ATL</x:t>
  </x:si>
  <x:si>
    <x:t xml:space="preserve">https://maineventsatl.com</x:t>
  </x:si>
  <x:si>
    <x:t xml:space="preserve">Certified event planner</x:t>
  </x:si>
  <x:si>
    <x:t xml:space="preserve">KIS(cubed) Events</x:t>
  </x:si>
  <x:si>
    <x:t xml:space="preserve">Corporate; fundraisers, trade shows</x:t>
  </x:si>
  <x:si>
    <x:t xml:space="preserve">OneTouch Events</x:t>
  </x:si>
  <x:si>
    <x:t xml:space="preserve">Conferences, workshops, retreats</x:t>
  </x:si>
  <x:si>
    <x:t xml:space="preserve">Affinity Group</x:t>
  </x:si>
  <x:si>
    <x:t xml:space="preserve">Experiential corporate events</x:t>
  </x:si>
  <x:si>
    <x:t xml:space="preserve">VOLO Events</x:t>
  </x:si>
  <x:si>
    <x:t xml:space="preserve">Experiential agency since 2010</x:t>
  </x:si>
  <x:si>
    <x:t xml:space="preserve">House of Bash</x:t>
  </x:si>
  <x:si>
    <x:t xml:space="preserve">https://houseofbash.net</x:t>
  </x:si>
  <x:si>
    <x:t xml:space="preserve">Corporate event planning</x:t>
  </x:si>
  <x:si>
    <x:t xml:space="preserve">The Alison Agency</x:t>
  </x:si>
  <x:si>
    <x:t xml:space="preserve">Entertainment + planning, private/corporate</x:t>
  </x:si>
  <x:si>
    <x:t xml:space="preserve">Blue Sky Atlanta Music &amp; Entertainment</x:t>
  </x:si>
  <x:si>
    <x:t xml:space="preserve">https://blueskyatlanta.com</x:t>
  </x:si>
  <x:si>
    <x:t xml:space="preserve">Large full-service entertainment booking</x:t>
  </x:si>
  <x:si>
    <x:t xml:space="preserve">Axtell Entertainment &amp; Productions</x:t>
  </x:si>
  <x:si>
    <x:t xml:space="preserve">https://axtellproductions.com</x:t>
  </x:si>
  <x:si>
    <x:t xml:space="preserve">Bands/DJs for weddings + corporate</x:t>
  </x:si>
  <x:si>
    <x:t xml:space="preserve">Breezin' Entertainment (Atlanta)</x:t>
  </x:si>
  <x:si>
    <x:t xml:space="preserve">https://breezin.com</x:t>
  </x:si>
  <x:si>
    <x:t xml:space="preserve">2,000+ events/yr; corporate + weddings</x:t>
  </x:si>
  <x:si>
    <x:t xml:space="preserve">EastCoast Entertainment (Atlanta)</x:t>
  </x:si>
  <x:si>
    <x:t xml:space="preserve">Weddings, conventions, corporate</x:t>
  </x:si>
  <x:si>
    <x:t xml:space="preserve">All Stage Productions</x:t>
  </x:si>
  <x:si>
    <x:t xml:space="preserve">https://allstageproductions.com</x:t>
  </x:si>
  <x:si>
    <x:t xml:space="preserve">Event production + talent</x:t>
  </x:si>
  <x:si>
    <x:t xml:space="preserve">Headline Booking (Atlanta)</x:t>
  </x:si>
  <x:si>
    <x:t xml:space="preserve">Musicians, speakers, comedians</x:t>
  </x:si>
  <x:si>
    <x:t xml:space="preserve">KLF Pro Entertainment</x:t>
  </x:si>
  <x:si>
    <x:t xml:space="preserve">https://klfproentertainment.com</x:t>
  </x:si>
  <x:si>
    <x:t xml:space="preserve">Corporate event entertainment</x:t>
  </x:si>
  <x:si>
    <x:t xml:space="preserve">Kelly &amp; Co. Events</x:t>
  </x:si>
  <x:si>
    <x:t xml:space="preserve">Charlotte</x:t>
  </x:si>
  <x:si>
    <x:t xml:space="preserve">NC</x:t>
  </x:si>
  <x:si>
    <x:t xml:space="preserve">https://kellyandcoevents.com</x:t>
  </x:si>
  <x:si>
    <x:t xml:space="preserve">Full-service since 2006; 150+ weddings</x:t>
  </x:si>
  <x:si>
    <x:t xml:space="preserve">Fabulously Created Events</x:t>
  </x:si>
  <x:si>
    <x:t xml:space="preserve">https://wearefabcreated.com</x:t>
  </x:si>
  <x:si>
    <x:t xml:space="preserve">Upscale weddings + corporate</x:t>
  </x:si>
  <x:si>
    <x:t xml:space="preserve">Southern Savvy Events</x:t>
  </x:si>
  <x:si>
    <x:t xml:space="preserve">https://southernsavvyevents.com</x:t>
  </x:si>
  <x:si>
    <x:t xml:space="preserve">Custom weddings + event design</x:t>
  </x:si>
  <x:si>
    <x:t xml:space="preserve">Purposely Designed Event Planning</x:t>
  </x:si>
  <x:si>
    <x:t xml:space="preserve">https://pdeventplanning.com</x:t>
  </x:si>
  <x:si>
    <x:t xml:space="preserve">Weddings + events</x:t>
  </x:si>
  <x:si>
    <x:t xml:space="preserve">Leigh &amp; Co. Events</x:t>
  </x:si>
  <x:si>
    <x:t xml:space="preserve">Wedding day management</x:t>
  </x:si>
  <x:si>
    <x:t xml:space="preserve">Scout and Grace</x:t>
  </x:si>
  <x:si>
    <x:t xml:space="preserve">20+ yrs wedding planning</x:t>
  </x:si>
  <x:si>
    <x:t xml:space="preserve">Aisha Thomas Events</x:t>
  </x:si>
  <x:si>
    <x:t xml:space="preserve">Weddings, events + travel</x:t>
  </x:si>
  <x:si>
    <x:t xml:space="preserve">Style Perfect Events</x:t>
  </x:si>
  <x:si>
    <x:t xml:space="preserve">https://styleperfectevents.com</x:t>
  </x:si>
  <x:si>
    <x:t xml:space="preserve">Full-service + destination management</x:t>
  </x:si>
  <x:si>
    <x:t xml:space="preserve">Spark By Design</x:t>
  </x:si>
  <x:si>
    <x:t xml:space="preserve">https://sparkbydesign.events</x:t>
  </x:si>
  <x:si>
    <x:t xml:space="preserve">(704) 525-9233</x:t>
  </x:si>
  <x:si>
    <x:t xml:space="preserve">Events, design, DMC + weddings</x:t>
  </x:si>
  <x:si>
    <x:t xml:space="preserve">All About Presentation</x:t>
  </x:si>
  <x:si>
    <x:t xml:space="preserve">High-end corporate + celebrations</x:t>
  </x:si>
  <x:si>
    <x:t xml:space="preserve">Charlotte Destination Group (CDG)</x:t>
  </x:si>
  <x:si>
    <x:t xml:space="preserve">https://charlottedestinationgroup.com</x:t>
  </x:si>
  <x:si>
    <x:t xml:space="preserve">Corporate meetings/events DMC</x:t>
  </x:si>
  <x:si>
    <x:t xml:space="preserve">Mosaix Group</x:t>
  </x:si>
  <x:si>
    <x:t xml:space="preserve">https://mosaixgroup.com</x:t>
  </x:si>
  <x:si>
    <x:t xml:space="preserve">Accredited DMC (Charlotte, Raleigh, Asheville)</x:t>
  </x:si>
  <x:si>
    <x:t xml:space="preserve">TCG Events</x:t>
  </x:si>
  <x:si>
    <x:t xml:space="preserve">https://tcgevents.com</x:t>
  </x:si>
  <x:si>
    <x:t xml:space="preserve">Corporate; Fortune 500 + pro sports</x:t>
  </x:si>
  <x:si>
    <x:t xml:space="preserve">AMP Event Group (Charlotte)</x:t>
  </x:si>
  <x:si>
    <x:t xml:space="preserve">Corporate/association planning + production</x:t>
  </x:si>
  <x:si>
    <x:t xml:space="preserve">EastCoast Entertainment (Charlotte)</x:t>
  </x:si>
  <x:si>
    <x:t xml:space="preserve">Largest full-service entertainment agency</x:t>
  </x:si>
  <x:si>
    <x:t xml:space="preserve">Key Signature Entertainment</x:t>
  </x:si>
  <x:si>
    <x:t xml:space="preserve">https://keysignatureonline.com</x:t>
  </x:si>
  <x:si>
    <x:t xml:space="preserve">750+ events/yr live music + entertainment</x:t>
  </x:si>
  <x:si>
    <x:t xml:space="preserve">ATG Entertainment</x:t>
  </x:si>
  <x:si>
    <x:t xml:space="preserve">https://atgdj.com</x:t>
  </x:si>
  <x:si>
    <x:t xml:space="preserve">(704) 537-9300</x:t>
  </x:si>
  <x:si>
    <x:t xml:space="preserve">Corporate conferences + holiday events ~20 yrs</x:t>
  </x:si>
  <x:si>
    <x:t xml:space="preserve">Southern Entertainment</x:t>
  </x:si>
  <x:si>
    <x:t xml:space="preserve">https://southernentertainment.com</x:t>
  </x:si>
  <x:si>
    <x:t xml:space="preserve">Live-event + festival production</x:t>
  </x:si>
  <x:si>
    <x:t xml:space="preserve">Custom Las Vegas Weddings</x:t>
  </x:si>
  <x:si>
    <x:t xml:space="preserve">Las Vegas</x:t>
  </x:si>
  <x:si>
    <x:t xml:space="preserve">NV</x:t>
  </x:si>
  <x:si>
    <x:t xml:space="preserve">Top wedding planning since 1996</x:t>
  </x:si>
  <x:si>
    <x:t xml:space="preserve">Symphony Weddings &amp; Events</x:t>
  </x:si>
  <x:si>
    <x:t xml:space="preserve">815+ weddings, 10+ yrs</x:t>
  </x:si>
  <x:si>
    <x:t xml:space="preserve">The Vegas Planners</x:t>
  </x:si>
  <x:si>
    <x:t xml:space="preserve">https://thevegasplanners.com</x:t>
  </x:si>
  <x:si>
    <x:t xml:space="preserve">Event Planning LV</x:t>
  </x:si>
  <x:si>
    <x:t xml:space="preserve">https://eventplanninglv.com</x:t>
  </x:si>
  <x:si>
    <x:t xml:space="preserve">Weddings + corporate (conferences, galas)</x:t>
  </x:si>
  <x:si>
    <x:t xml:space="preserve">Destination Fabulous</x:t>
  </x:si>
  <x:si>
    <x:t xml:space="preserve">https://destinationfabulous.com</x:t>
  </x:si>
  <x:si>
    <x:t xml:space="preserve">Award-winning corporate DMC</x:t>
  </x:si>
  <x:si>
    <x:t xml:space="preserve">aVenue Event Group</x:t>
  </x:si>
  <x:si>
    <x:t xml:space="preserve">https://avenueeventgroup.com</x:t>
  </x:si>
  <x:si>
    <x:t xml:space="preserve">Top Vegas DMC; Fortune 500 clients</x:t>
  </x:si>
  <x:si>
    <x:t xml:space="preserve">MC&amp;A</x:t>
  </x:si>
  <x:si>
    <x:t xml:space="preserve">https://mcadmc.com</x:t>
  </x:si>
  <x:si>
    <x:t xml:space="preserve">DMC 40 yrs; corporate events</x:t>
  </x:si>
  <x:si>
    <x:t xml:space="preserve">A to Z Events</x:t>
  </x:si>
  <x:si>
    <x:t xml:space="preserve">https://atozevents.com</x:t>
  </x:si>
  <x:si>
    <x:t xml:space="preserve">DMC + entertainment agency, 25+ yrs</x:t>
  </x:si>
  <x:si>
    <x:t xml:space="preserve">Destinations by Design</x:t>
  </x:si>
  <x:si>
    <x:t xml:space="preserve">DMC + live event production, 33+ yrs</x:t>
  </x:si>
  <x:si>
    <x:t xml:space="preserve">By Dzign</x:t>
  </x:si>
  <x:si>
    <x:t xml:space="preserve">https://by-dzign.com</x:t>
  </x:si>
  <x:si>
    <x:t xml:space="preserve">8,000+ events; weddings arm too</x:t>
  </x:si>
  <x:si>
    <x:t xml:space="preserve">St. Clair Productions</x:t>
  </x:si>
  <x:si>
    <x:t xml:space="preserve">Corporate production, 30+ yrs</x:t>
  </x:si>
  <x:si>
    <x:t xml:space="preserve">Downtown Events (DTLV)</x:t>
  </x:si>
  <x:si>
    <x:t xml:space="preserve">https://dtlvevents.com</x:t>
  </x:si>
  <x:si>
    <x:t xml:space="preserve">Culture Shock Las Vegas</x:t>
  </x:si>
  <x:si>
    <x:t xml:space="preserve">Dance entertainment for galas/conventions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</x:si>
</x:sst>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#,##0"/>
    <x:numFmt numFmtId="201" formatCode="$#,##0.00"/>
  </x:numFmts>
  <x:fonts count="17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sz val="10"/>
      <x:color rgb="FF0563C1"/>
      <x:name val="Arial"/>
    </x:font>
    <x:font>
      <x:b/>
      <x:sz val="13"/>
      <x:name val="Arial"/>
    </x:font>
    <x:font>
      <x:b/>
      <x:sz val="11"/>
      <x:name val="Arial"/>
    </x:font>
    <x:font>
      <x:i/>
      <x:sz val="9"/>
      <x:name val="Arial"/>
    </x:font>
    <x:font>
      <x:b/>
      <x:sz val="11"/>
      <x:color rgb="FFFFFFFF"/>
      <x:name val="Calibri"/>
    </x:font>
    <x:font>
      <x:sz val="11"/>
      <x:color rgb="FF6A655D"/>
      <x:name val="Calibri"/>
    </x:font>
    <x:font>
      <x:b/>
      <x:sz val="11"/>
      <x:color rgb="FF24211D"/>
      <x:name val="Calibri"/>
    </x:font>
    <x:font>
      <x:sz val="11"/>
      <x:color rgb="FF24211D"/>
      <x:name val="Calibri"/>
    </x:font>
    <x:font>
      <x:b/>
      <x:sz val="11"/>
      <x:color rgb="FF1F3B2C"/>
      <x:name val="Calibri"/>
    </x:font>
    <x:font>
      <x:b/>
      <x:sz val="11"/>
      <x:color rgb="FFC95331"/>
      <x:name val="Calibri"/>
    </x:font>
    <x:font>
      <x:sz val="11"/>
      <x:color rgb="FFC95331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3B2C"/>
      </x:patternFill>
    </x:fill>
    <x:fill>
      <x:patternFill patternType="solid">
        <x:fgColor rgb="FFF2F0EA"/>
      </x:patternFill>
    </x:fill>
    <x:fill>
      <x:patternFill patternType="solid">
        <x:fgColor rgb="FFE4E0D5"/>
      </x:patternFill>
    </x:fill>
    <x:fill>
      <x:patternFill patternType="solid">
        <x:fgColor rgb="FF1F3B2C"/>
      </x:patternFill>
    </x:fill>
    <x:fill>
      <x:patternFill patternType="solid">
        <x:fgColor rgb="FFF7F3EA"/>
      </x:patternFill>
    </x:fill>
    <x:fill>
      <x:patternFill patternType="solid">
        <x:fgColor rgb="FFE4E0D5"/>
      </x:patternFill>
    </x:fill>
    <x:fill>
      <x:patternFill patternType="solid">
        <x:fgColor rgb="FFDCE8E0"/>
      </x:patternFill>
    </x:fill>
    <x:fill>
      <x:patternFill patternType="solid">
        <x:fgColor rgb="FFFBE6DF"/>
      </x:patternFill>
    </x:fill>
  </x:fills>
  <x:borders count="18">
    <x:border diagonalUp="0" diagonalDown="0"/>
    <x:border diagonalUp="0" diagonalDown="0">
      <x:right style="thin">
        <x:color rgb="FFD8D2C6"/>
      </x:right>
    </x:border>
    <x:border diagonalUp="0" diagonalDown="0">
      <x:left style="thin">
        <x:color rgb="FFD8D2C6"/>
      </x:left>
      <x:right style="thin">
        <x:color rgb="FFD8D2C6"/>
      </x:right>
    </x:border>
    <x:border diagonalUp="0" diagonalDown="0">
      <x:left style="thin">
        <x:color rgb="FFD8D2C6"/>
      </x:left>
    </x:border>
    <x:border diagonalUp="0" diagonalDown="0">
      <x:right style="thin">
        <x:color rgb="FFE8E3D9"/>
      </x:right>
      <x:bottom style="thin">
        <x:color rgb="FFE8E3D9"/>
      </x:bottom>
    </x:border>
    <x:border diagonalUp="0" diagonalDown="0">
      <x:left style="thin">
        <x:color rgb="FFE8E3D9"/>
      </x:left>
      <x:right style="thin">
        <x:color rgb="FFE8E3D9"/>
      </x:right>
      <x:bottom style="thin">
        <x:color rgb="FFE8E3D9"/>
      </x:bottom>
    </x:border>
    <x:border diagonalUp="0" diagonalDown="0">
      <x:left style="thin">
        <x:color rgb="FFE8E3D9"/>
      </x:left>
      <x:bottom style="thin">
        <x:color rgb="FFE8E3D9"/>
      </x:bottom>
    </x:border>
    <x:border diagonalUp="0" diagonalDown="0">
      <x:right style="thin">
        <x:color rgb="FFE8E3D9"/>
      </x:right>
      <x:top style="thin">
        <x:color rgb="FFE8E3D9"/>
      </x:top>
      <x:bottom style="thin">
        <x:color rgb="FFE8E3D9"/>
      </x:bottom>
    </x:border>
    <x:border diagonalUp="0" diagonalDown="0">
      <x:left style="thin">
        <x:color rgb="FFE8E3D9"/>
      </x:left>
      <x:right style="thin">
        <x:color rgb="FFE8E3D9"/>
      </x:right>
      <x:top style="thin">
        <x:color rgb="FFE8E3D9"/>
      </x:top>
      <x:bottom style="thin">
        <x:color rgb="FFE8E3D9"/>
      </x:bottom>
    </x:border>
    <x:border diagonalUp="0" diagonalDown="0">
      <x:left style="thin">
        <x:color rgb="FFE8E3D9"/>
      </x:left>
      <x:top style="thin">
        <x:color rgb="FFE8E3D9"/>
      </x:top>
      <x:bottom style="thin">
        <x:color rgb="FFE8E3D9"/>
      </x:bottom>
    </x:border>
    <x:border diagonalUp="0" diagonalDown="0">
      <x:right style="thin">
        <x:color rgb="FFE8E3D9"/>
      </x:right>
      <x:top style="thin">
        <x:color rgb="FFE8E3D9"/>
      </x:top>
    </x:border>
    <x:border diagonalUp="0" diagonalDown="0">
      <x:left style="thin">
        <x:color rgb="FFE8E3D9"/>
      </x:left>
      <x:right style="thin">
        <x:color rgb="FFE8E3D9"/>
      </x:right>
      <x:top style="thin">
        <x:color rgb="FFE8E3D9"/>
      </x:top>
    </x:border>
    <x:border diagonalUp="0" diagonalDown="0">
      <x:left style="thin">
        <x:color rgb="FFE8E3D9"/>
      </x:left>
      <x:top style="thin">
        <x:color rgb="FFE8E3D9"/>
      </x:top>
    </x:border>
    <x:border diagonalUp="0" diagonalDown="0">
      <x:right style="thin">
        <x:color rgb="FFE8E3D9"/>
      </x:right>
      <x:top style="thin">
        <x:color rgb="FFE8E3D9"/>
      </x:top>
      <x:bottom style="double">
        <x:color rgb="FF1F3B2C"/>
      </x:bottom>
    </x:border>
    <x:border diagonalUp="0" diagonalDown="0">
      <x:left style="thin">
        <x:color rgb="FFE8E3D9"/>
      </x:left>
      <x:right style="thin">
        <x:color rgb="FFE8E3D9"/>
      </x:right>
      <x:top style="thin">
        <x:color rgb="FFE8E3D9"/>
      </x:top>
      <x:bottom style="double">
        <x:color rgb="FF1F3B2C"/>
      </x:bottom>
    </x:border>
    <x:border diagonalUp="0" diagonalDown="0">
      <x:left style="thin">
        <x:color rgb="FF1F3B2C"/>
      </x:left>
      <x:top style="thin">
        <x:color rgb="FF1F3B2C"/>
      </x:top>
      <x:bottom style="thin">
        <x:color rgb="FF1F3B2C"/>
      </x:bottom>
    </x:border>
    <x:border diagonalUp="0" diagonalDown="0">
      <x:top style="thin">
        <x:color rgb="FF1F3B2C"/>
      </x:top>
      <x:bottom style="thin">
        <x:color rgb="FF1F3B2C"/>
      </x:bottom>
    </x:border>
    <x:border diagonalUp="0" diagonalDown="0">
      <x:right style="thin">
        <x:color rgb="FF1F3B2C"/>
      </x:right>
      <x:top style="thin">
        <x:color rgb="FF1F3B2C"/>
      </x:top>
      <x:bottom style="thin">
        <x:color rgb="FF1F3B2C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4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1">
      <x:alignment horizontal="general" vertical="center" wrapText="0"/>
    </x:xf>
    <x:xf numFmtId="164" fontId="5" fillId="3" borderId="0" xfId="0" applyFont="1" applyBorder="0" applyAlignment="0">
      <x:alignment horizontal="general" vertical="bottom" wrapText="0"/>
    </x:xf>
    <x:xf numFmtId="164" fontId="6" fillId="3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8" fillId="4" borderId="0" xfId="0" applyFont="1" applyBorder="0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9" fillId="0" borderId="0" xfId="0" applyFont="1" applyBorder="0" applyAlignment="0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0" fillId="5" borderId="0" xfId="0" applyNumberFormat="1" applyFont="1" applyFill="1" applyBorder="1" applyAlignment="1">
      <x:alignment horizontal="general" vertical="bottom" wrapText="0"/>
    </x:xf>
    <x:xf numFmtId="164" fontId="10" fillId="5" borderId="0" xfId="0" applyNumberFormat="1" applyFont="1" applyFill="1" applyBorder="1" applyAlignment="1">
      <x:alignment horizontal="general" vertical="center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1" fillId="6" borderId="0" xfId="0" applyNumberFormat="1" applyFont="1" applyFill="1" applyBorder="1" applyAlignment="1">
      <x:alignment horizontal="general" vertical="bottom" wrapText="0"/>
    </x:xf>
    <x:xf numFmtId="164" fontId="11" fillId="6" borderId="0" xfId="0" applyNumberFormat="1" applyFont="1" applyFill="1" applyBorder="1" applyAlignment="1">
      <x:alignment horizontal="general" vertical="bottom" wrapText="1"/>
    </x:xf>
    <x:xf numFmtId="164" fontId="11" fillId="6" borderId="0" xfId="0" applyNumberFormat="1" applyFont="1" applyFill="1" applyBorder="1" applyAlignment="1">
      <x:alignment horizontal="general" vertical="center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2" fillId="7" borderId="0" xfId="0" applyNumberFormat="1" applyFont="1" applyFill="1" applyBorder="1" applyAlignment="1">
      <x:alignment horizontal="general" vertical="bottom" wrapText="0"/>
    </x:xf>
    <x:xf numFmtId="164" fontId="12" fillId="7" borderId="1" xfId="0" applyNumberFormat="1" applyFont="1" applyFill="1" applyBorder="1" applyAlignment="1">
      <x:alignment horizontal="general" vertical="bottom" wrapText="0"/>
    </x:xf>
    <x:xf numFmtId="164" fontId="12" fillId="7" borderId="2" xfId="0" applyNumberFormat="1" applyFont="1" applyFill="1" applyBorder="1" applyAlignment="1">
      <x:alignment horizontal="general" vertical="bottom" wrapText="0"/>
    </x:xf>
    <x:xf numFmtId="164" fontId="12" fillId="7" borderId="3" xfId="0" applyNumberFormat="1" applyFont="1" applyFill="1" applyBorder="1" applyAlignment="1">
      <x:alignment horizontal="general" vertical="bottom" wrapText="0"/>
    </x:xf>
    <x:xf numFmtId="164" fontId="12" fillId="7" borderId="1" xfId="0" applyNumberFormat="1" applyFont="1" applyFill="1" applyBorder="1" applyAlignment="1">
      <x:alignment horizontal="general" vertical="bottom" wrapText="1"/>
    </x:xf>
    <x:xf numFmtId="164" fontId="12" fillId="7" borderId="2" xfId="0" applyNumberFormat="1" applyFont="1" applyFill="1" applyBorder="1" applyAlignment="1">
      <x:alignment horizontal="general" vertical="bottom" wrapText="1"/>
    </x:xf>
    <x:xf numFmtId="164" fontId="12" fillId="7" borderId="3" xfId="0" applyNumberFormat="1" applyFont="1" applyFill="1" applyBorder="1" applyAlignment="1">
      <x:alignment horizontal="general" vertical="bottom" wrapText="1"/>
    </x:xf>
    <x:xf numFmtId="164" fontId="12" fillId="7" borderId="1" xfId="0" applyNumberFormat="1" applyFont="1" applyFill="1" applyBorder="1" applyAlignment="1">
      <x:alignment horizontal="general" vertical="center" wrapText="1"/>
    </x:xf>
    <x:xf numFmtId="164" fontId="12" fillId="7" borderId="2" xfId="0" applyNumberFormat="1" applyFont="1" applyFill="1" applyBorder="1" applyAlignment="1">
      <x:alignment horizontal="general" vertical="center" wrapText="1"/>
    </x:xf>
    <x:xf numFmtId="164" fontId="12" fillId="7" borderId="3" xfId="0" applyNumberFormat="1" applyFont="1" applyFill="1" applyBorder="1" applyAlignment="1">
      <x:alignment horizontal="general" vertical="center" wrapText="1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0" borderId="4" xfId="0" applyNumberFormat="1" applyFont="1" applyFill="1" applyBorder="1" applyAlignment="1">
      <x:alignment horizontal="general" vertical="bottom" wrapText="0"/>
    </x:xf>
    <x:xf numFmtId="164" fontId="13" fillId="0" borderId="5" xfId="0" applyNumberFormat="1" applyFont="1" applyFill="1" applyBorder="1" applyAlignment="1">
      <x:alignment horizontal="general" vertical="bottom" wrapText="0"/>
    </x:xf>
    <x:xf numFmtId="164" fontId="13" fillId="0" borderId="6" xfId="0" applyNumberFormat="1" applyFont="1" applyFill="1" applyBorder="1" applyAlignment="1">
      <x:alignment horizontal="general" vertical="bottom" wrapText="0"/>
    </x:xf>
    <x:xf numFmtId="164" fontId="13" fillId="0" borderId="7" xfId="0" applyNumberFormat="1" applyFont="1" applyFill="1" applyBorder="1" applyAlignment="1">
      <x:alignment horizontal="general" vertical="bottom" wrapText="0"/>
    </x:xf>
    <x:xf numFmtId="164" fontId="13" fillId="0" borderId="8" xfId="0" applyNumberFormat="1" applyFont="1" applyFill="1" applyBorder="1" applyAlignment="1">
      <x:alignment horizontal="general" vertical="bottom" wrapText="0"/>
    </x:xf>
    <x:xf numFmtId="164" fontId="13" fillId="0" borderId="9" xfId="0" applyNumberFormat="1" applyFont="1" applyFill="1" applyBorder="1" applyAlignment="1">
      <x:alignment horizontal="general" vertical="bottom" wrapText="0"/>
    </x:xf>
    <x:xf numFmtId="164" fontId="13" fillId="0" borderId="10" xfId="0" applyNumberFormat="1" applyFont="1" applyFill="1" applyBorder="1" applyAlignment="1">
      <x:alignment horizontal="general" vertical="bottom" wrapText="0"/>
    </x:xf>
    <x:xf numFmtId="164" fontId="13" fillId="0" borderId="11" xfId="0" applyNumberFormat="1" applyFont="1" applyFill="1" applyBorder="1" applyAlignment="1">
      <x:alignment horizontal="general" vertical="bottom" wrapText="0"/>
    </x:xf>
    <x:xf numFmtId="164" fontId="13" fillId="0" borderId="12" xfId="0" applyNumberFormat="1" applyFont="1" applyFill="1" applyBorder="1" applyAlignment="1">
      <x:alignment horizontal="general" vertical="bottom" wrapText="0"/>
    </x:xf>
    <x:xf numFmtId="164" fontId="13" fillId="0" borderId="4" xfId="0" applyNumberFormat="1" applyFont="1" applyFill="1" applyBorder="1" applyAlignment="1">
      <x:alignment horizontal="general" vertical="bottom" wrapText="1"/>
    </x:xf>
    <x:xf numFmtId="164" fontId="13" fillId="0" borderId="5" xfId="0" applyNumberFormat="1" applyFont="1" applyFill="1" applyBorder="1" applyAlignment="1">
      <x:alignment horizontal="general" vertical="bottom" wrapText="1"/>
    </x:xf>
    <x:xf numFmtId="164" fontId="13" fillId="0" borderId="6" xfId="0" applyNumberFormat="1" applyFont="1" applyFill="1" applyBorder="1" applyAlignment="1">
      <x:alignment horizontal="general" vertical="bottom" wrapText="1"/>
    </x:xf>
    <x:xf numFmtId="164" fontId="13" fillId="0" borderId="7" xfId="0" applyNumberFormat="1" applyFont="1" applyFill="1" applyBorder="1" applyAlignment="1">
      <x:alignment horizontal="general" vertical="bottom" wrapText="1"/>
    </x:xf>
    <x:xf numFmtId="164" fontId="13" fillId="0" borderId="8" xfId="0" applyNumberFormat="1" applyFont="1" applyFill="1" applyBorder="1" applyAlignment="1">
      <x:alignment horizontal="general" vertical="bottom" wrapText="1"/>
    </x:xf>
    <x:xf numFmtId="164" fontId="13" fillId="0" borderId="9" xfId="0" applyNumberFormat="1" applyFont="1" applyFill="1" applyBorder="1" applyAlignment="1">
      <x:alignment horizontal="general" vertical="bottom" wrapText="1"/>
    </x:xf>
    <x:xf numFmtId="164" fontId="13" fillId="0" borderId="10" xfId="0" applyNumberFormat="1" applyFont="1" applyFill="1" applyBorder="1" applyAlignment="1">
      <x:alignment horizontal="general" vertical="bottom" wrapText="1"/>
    </x:xf>
    <x:xf numFmtId="164" fontId="13" fillId="0" borderId="11" xfId="0" applyNumberFormat="1" applyFont="1" applyFill="1" applyBorder="1" applyAlignment="1">
      <x:alignment horizontal="general" vertical="bottom" wrapText="1"/>
    </x:xf>
    <x:xf numFmtId="164" fontId="13" fillId="0" borderId="12" xfId="0" applyNumberFormat="1" applyFont="1" applyFill="1" applyBorder="1" applyAlignment="1">
      <x:alignment horizontal="general" vertical="bottom" wrapText="1"/>
    </x:xf>
    <x:xf numFmtId="164" fontId="13" fillId="0" borderId="4" xfId="0" applyNumberFormat="1" applyFont="1" applyFill="1" applyBorder="1" applyAlignment="1">
      <x:alignment horizontal="general" vertical="top" wrapText="1"/>
    </x:xf>
    <x:xf numFmtId="164" fontId="13" fillId="0" borderId="5" xfId="0" applyNumberFormat="1" applyFont="1" applyFill="1" applyBorder="1" applyAlignment="1">
      <x:alignment horizontal="general" vertical="top" wrapText="1"/>
    </x:xf>
    <x:xf numFmtId="164" fontId="13" fillId="0" borderId="6" xfId="0" applyNumberFormat="1" applyFont="1" applyFill="1" applyBorder="1" applyAlignment="1">
      <x:alignment horizontal="general" vertical="top" wrapText="1"/>
    </x:xf>
    <x:xf numFmtId="164" fontId="13" fillId="0" borderId="7" xfId="0" applyNumberFormat="1" applyFont="1" applyFill="1" applyBorder="1" applyAlignment="1">
      <x:alignment horizontal="general" vertical="top" wrapText="1"/>
    </x:xf>
    <x:xf numFmtId="164" fontId="13" fillId="0" borderId="8" xfId="0" applyNumberFormat="1" applyFont="1" applyFill="1" applyBorder="1" applyAlignment="1">
      <x:alignment horizontal="general" vertical="top" wrapText="1"/>
    </x:xf>
    <x:xf numFmtId="164" fontId="13" fillId="0" borderId="9" xfId="0" applyNumberFormat="1" applyFont="1" applyFill="1" applyBorder="1" applyAlignment="1">
      <x:alignment horizontal="general" vertical="top" wrapText="1"/>
    </x:xf>
    <x:xf numFmtId="164" fontId="13" fillId="0" borderId="10" xfId="0" applyNumberFormat="1" applyFont="1" applyFill="1" applyBorder="1" applyAlignment="1">
      <x:alignment horizontal="general" vertical="top" wrapText="1"/>
    </x:xf>
    <x:xf numFmtId="164" fontId="13" fillId="0" borderId="11" xfId="0" applyNumberFormat="1" applyFont="1" applyFill="1" applyBorder="1" applyAlignment="1">
      <x:alignment horizontal="general" vertical="top" wrapText="1"/>
    </x:xf>
    <x:xf numFmtId="164" fontId="13" fillId="0" borderId="12" xfId="0" applyNumberFormat="1" applyFont="1" applyFill="1" applyBorder="1" applyAlignment="1">
      <x:alignment horizontal="general" vertical="top" wrapText="1"/>
    </x:xf>
    <x:xf numFmtId="164" fontId="13" fillId="8" borderId="10" xfId="0" applyNumberFormat="1" applyFont="1" applyFill="1" applyBorder="1" applyAlignment="1">
      <x:alignment horizontal="general" vertical="top" wrapText="1"/>
    </x:xf>
    <x:xf numFmtId="164" fontId="13" fillId="8" borderId="11" xfId="0" applyNumberFormat="1" applyFont="1" applyFill="1" applyBorder="1" applyAlignment="1">
      <x:alignment horizontal="general" vertical="top" wrapText="1"/>
    </x:xf>
    <x:xf numFmtId="164" fontId="13" fillId="8" borderId="12" xfId="0" applyNumberFormat="1" applyFont="1" applyFill="1" applyBorder="1" applyAlignment="1">
      <x:alignment horizontal="general" vertical="top" wrapText="1"/>
    </x:xf>
    <x:xf numFmtId="164" fontId="14" fillId="8" borderId="10" xfId="0" applyNumberFormat="1" applyFont="1" applyFill="1" applyBorder="1" applyAlignment="1">
      <x:alignment horizontal="general" vertical="top" wrapText="1"/>
    </x:xf>
    <x:xf numFmtId="164" fontId="14" fillId="8" borderId="11" xfId="0" applyNumberFormat="1" applyFont="1" applyFill="1" applyBorder="1" applyAlignment="1">
      <x:alignment horizontal="general" vertical="top" wrapText="1"/>
    </x:xf>
    <x:xf numFmtId="164" fontId="14" fillId="8" borderId="12" xfId="0" applyNumberFormat="1" applyFont="1" applyFill="1" applyBorder="1" applyAlignment="1">
      <x:alignment horizontal="general" vertical="top" wrapText="1"/>
    </x:xf>
    <x:xf numFmtId="164" fontId="14" fillId="8" borderId="13" xfId="0" applyNumberFormat="1" applyFont="1" applyFill="1" applyBorder="1" applyAlignment="1">
      <x:alignment horizontal="general" vertical="top" wrapText="1"/>
    </x:xf>
    <x:xf numFmtId="164" fontId="14" fillId="8" borderId="14" xfId="0" applyNumberFormat="1" applyFont="1" applyFill="1" applyBorder="1" applyAlignment="1">
      <x:alignment horizontal="general" vertical="top" wrapText="1"/>
    </x:xf>
    <x:xf numFmtId="200" fontId="13" fillId="0" borderId="5" xfId="0" applyNumberFormat="1" applyFont="1" applyFill="1" applyBorder="1" applyAlignment="1">
      <x:alignment horizontal="general" vertical="top" wrapText="1"/>
    </x:xf>
    <x:xf numFmtId="200" fontId="13" fillId="0" borderId="6" xfId="0" applyNumberFormat="1" applyFont="1" applyFill="1" applyBorder="1" applyAlignment="1">
      <x:alignment horizontal="general" vertical="top" wrapText="1"/>
    </x:xf>
    <x:xf numFmtId="200" fontId="13" fillId="0" borderId="8" xfId="0" applyNumberFormat="1" applyFont="1" applyFill="1" applyBorder="1" applyAlignment="1">
      <x:alignment horizontal="general" vertical="top" wrapText="1"/>
    </x:xf>
    <x:xf numFmtId="200" fontId="13" fillId="0" borderId="9" xfId="0" applyNumberFormat="1" applyFont="1" applyFill="1" applyBorder="1" applyAlignment="1">
      <x:alignment horizontal="general" vertical="top" wrapText="1"/>
    </x:xf>
    <x:xf numFmtId="200" fontId="14" fillId="8" borderId="14" xfId="0" applyNumberFormat="1" applyFont="1" applyFill="1" applyBorder="1" applyAlignment="1">
      <x:alignment horizontal="general" vertical="top" wrapText="1"/>
    </x:xf>
    <x:xf numFmtId="200" fontId="13" fillId="0" borderId="5" xfId="0" applyNumberFormat="1" applyFont="1" applyFill="1" applyBorder="1" applyAlignment="1">
      <x:alignment horizontal="right" vertical="top" wrapText="1"/>
    </x:xf>
    <x:xf numFmtId="200" fontId="13" fillId="0" borderId="6" xfId="0" applyNumberFormat="1" applyFont="1" applyFill="1" applyBorder="1" applyAlignment="1">
      <x:alignment horizontal="right" vertical="top" wrapText="1"/>
    </x:xf>
    <x:xf numFmtId="200" fontId="13" fillId="0" borderId="8" xfId="0" applyNumberFormat="1" applyFont="1" applyFill="1" applyBorder="1" applyAlignment="1">
      <x:alignment horizontal="right" vertical="top" wrapText="1"/>
    </x:xf>
    <x:xf numFmtId="200" fontId="13" fillId="0" borderId="9" xfId="0" applyNumberFormat="1" applyFont="1" applyFill="1" applyBorder="1" applyAlignment="1">
      <x:alignment horizontal="right" vertical="top" wrapText="1"/>
    </x:xf>
    <x:xf numFmtId="200" fontId="14" fillId="8" borderId="14" xfId="0" applyNumberFormat="1" applyFont="1" applyFill="1" applyBorder="1" applyAlignment="1">
      <x:alignment horizontal="right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5" fillId="9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4" fillId="8" borderId="0" xfId="0" applyNumberFormat="1" applyFont="1" applyFill="1" applyBorder="1" applyAlignment="1">
      <x:alignment horizontal="general" vertical="bottom" wrapText="0"/>
    </x:xf>
    <x:xf numFmtId="164" fontId="14" fillId="8" borderId="15" xfId="0" applyNumberFormat="1" applyFont="1" applyFill="1" applyBorder="1" applyAlignment="1">
      <x:alignment horizontal="general" vertical="bottom" wrapText="0"/>
    </x:xf>
    <x:xf numFmtId="164" fontId="14" fillId="8" borderId="16" xfId="0" applyNumberFormat="1" applyFont="1" applyFill="1" applyBorder="1" applyAlignment="1">
      <x:alignment horizontal="general" vertical="bottom" wrapText="0"/>
    </x:xf>
    <x:xf numFmtId="164" fontId="14" fillId="8" borderId="17" xfId="0" applyNumberFormat="1" applyFont="1" applyFill="1" applyBorder="1" applyAlignment="1">
      <x:alignment horizontal="general" vertical="bottom" wrapText="0"/>
    </x:xf>
    <x:xf numFmtId="201" fontId="14" fillId="8" borderId="17" xfId="0" applyNumberFormat="1" applyFont="1" applyFill="1" applyBorder="1" applyAlignment="1">
      <x:alignment horizontal="general" vertical="bottom" wrapText="0"/>
    </x:xf>
    <x:xf numFmtId="201" fontId="13" fillId="0" borderId="5" xfId="0" applyNumberFormat="1" applyFont="1" applyFill="1" applyBorder="1" applyAlignment="1">
      <x:alignment horizontal="general" vertical="top" wrapText="1"/>
    </x:xf>
    <x:xf numFmtId="201" fontId="13" fillId="0" borderId="8" xfId="0" applyNumberFormat="1" applyFont="1" applyFill="1" applyBorder="1" applyAlignment="1">
      <x:alignment horizontal="general" vertical="top" wrapText="1"/>
    </x:xf>
    <x:xf numFmtId="201" fontId="13" fillId="0" borderId="11" xfId="0" applyNumberFormat="1" applyFont="1" applyFill="1" applyBorder="1" applyAlignment="1">
      <x:alignment horizontal="general" vertical="top" wrapText="1"/>
    </x:xf>
    <x:xf numFmtId="164" fontId="16" fillId="6" borderId="0" xfId="0" applyNumberFormat="1" applyFont="1" applyFill="1" applyBorder="1" applyAlignment="1">
      <x:alignment horizontal="general" vertical="bottom" wrapText="0"/>
    </x:xf>
    <x:xf numFmtId="164" fontId="16" fillId="6" borderId="0" xfId="0" applyNumberFormat="1" applyFont="1" applyFill="1" applyBorder="1" applyAlignment="1">
      <x:alignment horizontal="general" vertical="bottom" wrapText="1"/>
    </x:xf>
    <x:xf numFmtId="164" fontId="16" fillId="6" borderId="0" xfId="0" applyNumberFormat="1" applyFont="1" applyFill="1" applyBorder="1" applyAlignment="1">
      <x:alignment horizontal="general" vertical="center" wrapText="1"/>
    </x:xf>
    <x:xf numFmtId="200" fontId="13" fillId="0" borderId="5" xfId="0" applyNumberFormat="1" applyFont="1" applyFill="1" applyBorder="1" applyAlignment="1">
      <x:alignment horizontal="center" vertical="top" wrapText="1"/>
    </x:xf>
    <x:xf numFmtId="164" fontId="13" fillId="0" borderId="5" xfId="0" applyNumberFormat="1" applyFont="1" applyFill="1" applyBorder="1" applyAlignment="1">
      <x:alignment horizontal="center" vertical="top" wrapText="1"/>
    </x:xf>
    <x:xf numFmtId="200" fontId="13" fillId="0" borderId="8" xfId="0" applyNumberFormat="1" applyFont="1" applyFill="1" applyBorder="1" applyAlignment="1">
      <x:alignment horizontal="center" vertical="top" wrapText="1"/>
    </x:xf>
    <x:xf numFmtId="164" fontId="13" fillId="0" borderId="8" xfId="0" applyNumberFormat="1" applyFont="1" applyFill="1" applyBorder="1" applyAlignment="1">
      <x:alignment horizontal="center" vertical="top" wrapText="1"/>
    </x:xf>
    <x:xf numFmtId="200" fontId="14" fillId="8" borderId="14" xfId="0" applyNumberFormat="1" applyFont="1" applyFill="1" applyBorder="1" applyAlignment="1">
      <x:alignment horizontal="center" vertical="top" wrapText="1"/>
    </x:xf>
    <x:xf numFmtId="164" fontId="14" fillId="8" borderId="14" xfId="0" applyNumberFormat="1" applyFont="1" applyFill="1" applyBorder="1" applyAlignment="1">
      <x:alignment horizontal="center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1F3B2C"/>
        </x:patternFill>
      </x:fill>
    </x:dxf>
    <x:dxf>
      <x:fill>
        <x:patternFill>
          <x:bgColor rgb="FFF2F0EA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563C1"/>
        </x:patternFill>
      </x:fill>
    </x:dxf>
    <x:dxf>
      <x:font>
        <x:b/>
        <x:color rgb="FF24211D"/>
      </x:font>
      <x:fill>
        <x:patternFill patternType="solid">
          <x:bgColor rgb="FFE7B44C"/>
        </x:patternFill>
      </x:fill>
    </x:dxf>
    <x:dxf>
      <x:font>
        <x:b/>
        <x:color rgb="FF1F3B2C"/>
      </x:font>
      <x:fill>
        <x:patternFill patternType="solid">
          <x:bgColor rgb="FFDCE8E0"/>
        </x:patternFill>
      </x:fill>
    </x:dxf>
    <x:dxf>
      <x:font>
        <x:b/>
        <x:color rgb="FF1F3B2C"/>
      </x:font>
      <x:fill>
        <x:patternFill patternType="solid">
          <x:bgColor rgb="FFDCE8E0"/>
        </x:patternFill>
      </x:fill>
    </x:dxf>
    <x:dxf>
      <x:font>
        <x:color rgb="FFC95331"/>
      </x:font>
      <x:fill>
        <x:patternFill patternType="solid">
          <x:bgColor rgb="FFFBE6D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0EA"/>
      <x:rgbColor rgb="FFCCFFFF"/>
      <x:rgbColor rgb="FF660066"/>
      <x:rgbColor rgb="FFFF8080"/>
      <x:rgbColor rgb="FF0563C1"/>
      <x:rgbColor rgb="FFE4E0D5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F3B2C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4a5c1403b45e9" /><Relationship Type="http://schemas.openxmlformats.org/officeDocument/2006/relationships/theme" Target="/xl/theme/theme1.xml" Id="Recc47f4547b14c8c" /><Relationship Type="http://schemas.openxmlformats.org/officeDocument/2006/relationships/sharedStrings" Target="/xl/sharedStrings.xml" Id="Rf273ac7895ba44f9" /><Relationship Type="http://schemas.openxmlformats.org/officeDocument/2006/relationships/worksheet" Target="/xl/worksheets/sheet1.xml" Id="Rfea1c0327de744e0" /><Relationship Type="http://schemas.openxmlformats.org/officeDocument/2006/relationships/worksheet" Target="/xl/worksheets/sheet2.xml" Id="Rb0d2009ddedf4929" /><Relationship Type="http://schemas.openxmlformats.org/officeDocument/2006/relationships/worksheet" Target="/xl/worksheets/sheet3.xml" Id="Rca45cee774994d18" /><Relationship Type="http://schemas.openxmlformats.org/officeDocument/2006/relationships/worksheet" Target="/xl/worksheets/sheet4.xml" Id="R089269c78126478a" /><Relationship Type="http://schemas.openxmlformats.org/officeDocument/2006/relationships/worksheet" Target="/xl/worksheets/sheet5.xml" Id="R7b4dd0bbccbf430b" /><Relationship Type="http://schemas.openxmlformats.org/officeDocument/2006/relationships/worksheet" Target="/xl/worksheets/sheet6.xml" Id="R27295feeb45444c3" /></Relationships>
</file>

<file path=xl/tables/table1.xml><?xml version="1.0" encoding="utf-8"?>
<x:table xmlns:x="http://schemas.openxmlformats.org/spreadsheetml/2006/main" id="1" name="LaunchSummaryTable" displayName="LaunchSummaryTable" ref="A4:F15" headerRowCount="1" totalsRowCount="0" totalsRowShown="0">
  <x:tableColumns count="6">
    <x:tableColumn id="1" name="City"/>
    <x:tableColumn id="2" name="Wedding planner"/>
    <x:tableColumn id="3" name="Event planner / DMC"/>
    <x:tableColumn id="4" name="Entertainment agency"/>
    <x:tableColumn id="5" name="DJ / MC"/>
    <x:tableColumn id="6" name="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enceMapTable" displayName="AudienceMapTable" ref="A4:G27" headerRowCount="1" totalsRowCount="0" totalsRowShown="0">
  <x:tableColumns count="7">
    <x:tableColumn id="1" name="Priority"/>
    <x:tableColumn id="2" name="Audience"/>
    <x:tableColumn id="3" name="Role"/>
    <x:tableColumn id="4" name="Direct buyer"/>
    <x:tableColumn id="5" name="Why they are connected"/>
    <x:tableColumn id="6" name="Collaboration angle"/>
    <x:tableColumn id="7" name="First call to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utreachToolsTable" displayName="OutreachToolsTable" ref="A7:G16" headerRowCount="1" totalsRowCount="0" totalsRowShown="0">
  <x:tableColumns count="7">
    <x:tableColumn id="1" name="Tier"/>
    <x:tableColumn id="2" name="Tool"/>
    <x:tableColumn id="3" name="Use"/>
    <x:tableColumn id="4" name="Monthly pilot cost"/>
    <x:tableColumn id="5" name="Start when"/>
    <x:tableColumn id="6" name="Constraint or trigger"/>
    <x:tableColumn id="7" name="Official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utreachPipelineTable" displayName="OutreachPipelineTable" ref="A20:D29" headerRowCount="1" totalsRowCount="0" totalsRowShown="0">
  <x:tableColumns count="4">
    <x:tableColumn id="1" name="Stage"/>
    <x:tableColumn id="2" name="Meaning"/>
    <x:tableColumn id="3" name="Exit condition"/>
    <x:tableColumn id="4" name="Automation 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eeklyWorkflowTable" displayName="WeeklyWorkflowTable" ref="A33:D38" headerRowCount="1" totalsRowCount="0" totalsRowShown="0">
  <x:tableColumns count="4">
    <x:tableColumn id="1" name="Step"/>
    <x:tableColumn id="2" name="Phase"/>
    <x:tableColumn id="3" name="Action"/>
    <x:tableColumn id="4" name="Quality g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structorContentTable" displayName="InstructorContentTable" ref="A4:I12" headerRowCount="1" totalsRowCount="0" totalsRowShown="0">
  <x:tableColumns count="9">
    <x:tableColumn id="1" name="Format"/>
    <x:tableColumn id="2" name="Goal"/>
    <x:tableColumn id="3" name="Length"/>
    <x:tableColumn id="4" name="Hook"/>
    <x:tableColumn id="5" name="Proof and B-roll"/>
    <x:tableColumn id="6" name="Primary CTA"/>
    <x:tableColumn id="7" name="Non-local CTA"/>
    <x:tableColumn id="8" name="Cadence"/>
    <x:tableColumn id="9" name="Core KP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JResearchQueueTable" displayName="DJResearchQueueTable" ref="A4:J15" headerRowCount="1" totalsRowCount="0" totalsRowShown="0">
  <x:tableColumns count="10">
    <x:tableColumn id="1" name="City"/>
    <x:tableColumn id="2" name="State"/>
    <x:tableColumn id="3" name="Segment"/>
    <x:tableColumn id="4" name="Target"/>
    <x:tableColumn id="5" name="Found"/>
    <x:tableColumn id="6" name="Remaining"/>
    <x:tableColumn id="7" name="Priority"/>
    <x:tableColumn id="8" name="Status"/>
    <x:tableColumn id="9" name="Discovery sources"/>
    <x:tableColumn id="10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fetenashville.com/" TargetMode="External" Id="Rb571c996f8f4437f" /><Relationship Type="http://schemas.openxmlformats.org/officeDocument/2006/relationships/hyperlink" Target="https://lauriedeanneevents.com/" TargetMode="External" Id="R9c14a968798d4e8e" /><Relationship Type="http://schemas.openxmlformats.org/officeDocument/2006/relationships/hyperlink" Target="https://bigeventsinc.com/" TargetMode="External" Id="R8185f5b5f822422d" /><Relationship Type="http://schemas.openxmlformats.org/officeDocument/2006/relationships/hyperlink" Target="https://amp-events.com/" TargetMode="External" Id="Rb2f31d92bd074065" /><Relationship Type="http://schemas.openxmlformats.org/officeDocument/2006/relationships/hyperlink" Target="https://musiccityevents.net/" TargetMode="External" Id="Rb5d47b3af21e44c5" /><Relationship Type="http://schemas.openxmlformats.org/officeDocument/2006/relationships/hyperlink" Target="https://meetcohera.com/" TargetMode="External" Id="Rcc946684268a4ef1" /><Relationship Type="http://schemas.openxmlformats.org/officeDocument/2006/relationships/hyperlink" Target="https://wellplannedevents.com/" TargetMode="External" Id="R74cb824c468140d6" /><Relationship Type="http://schemas.openxmlformats.org/officeDocument/2006/relationships/hyperlink" Target="https://bycrave.com/" TargetMode="External" Id="R4c486be336f4435f" /><Relationship Type="http://schemas.openxmlformats.org/officeDocument/2006/relationships/hyperlink" Target="https://destinationmusickcity.com/" TargetMode="External" Id="Rb7946d987af34380" /><Relationship Type="http://schemas.openxmlformats.org/officeDocument/2006/relationships/hyperlink" Target="https://nashvillebookingagency.com/" TargetMode="External" Id="Rfba13da6544e48d9" /><Relationship Type="http://schemas.openxmlformats.org/officeDocument/2006/relationships/hyperlink" Target="https://bookece.com/" TargetMode="External" Id="R78828c671445411f" /><Relationship Type="http://schemas.openxmlformats.org/officeDocument/2006/relationships/hyperlink" Target="https://tsunamientertainment.com/" TargetMode="External" Id="Rd2f9cd23c0fe4443" /><Relationship Type="http://schemas.openxmlformats.org/officeDocument/2006/relationships/hyperlink" Target="https://spanglerentertainment.com/" TargetMode="External" Id="R6edf1c0f30ef4e2c" /><Relationship Type="http://schemas.openxmlformats.org/officeDocument/2006/relationships/hyperlink" Target="https://requestpremier.com/" TargetMode="External" Id="R60b7c5da354c4fce" /><Relationship Type="http://schemas.openxmlformats.org/officeDocument/2006/relationships/hyperlink" Target="https://fetefw.com/" TargetMode="External" Id="R393702b3133043f6" /><Relationship Type="http://schemas.openxmlformats.org/officeDocument/2006/relationships/hyperlink" Target="https://eachandeverydetail.com/" TargetMode="External" Id="R46866aa5bf014110" /><Relationship Type="http://schemas.openxmlformats.org/officeDocument/2006/relationships/hyperlink" Target="https://sarabethandco.com/" TargetMode="External" Id="R87f8d5fe88504ccf" /><Relationship Type="http://schemas.openxmlformats.org/officeDocument/2006/relationships/hyperlink" Target="https://lovelyeventco.com/" TargetMode="External" Id="Re7109fb9ae134726" /><Relationship Type="http://schemas.openxmlformats.org/officeDocument/2006/relationships/hyperlink" Target="https://cmpromotions.co/" TargetMode="External" Id="R83e9b3de1382468b" /><Relationship Type="http://schemas.openxmlformats.org/officeDocument/2006/relationships/hyperlink" Target="https://totaleventsdfw.com/" TargetMode="External" Id="Reb2ca3700f1b48c4" /><Relationship Type="http://schemas.openxmlformats.org/officeDocument/2006/relationships/hyperlink" Target="https://brillianteventsinc.com/" TargetMode="External" Id="Rdd8ba9b5ee9b4986" /><Relationship Type="http://schemas.openxmlformats.org/officeDocument/2006/relationships/hyperlink" Target="https://b3talent.com/" TargetMode="External" Id="Rab996fa470114702" /><Relationship Type="http://schemas.openxmlformats.org/officeDocument/2006/relationships/hyperlink" Target="https://theyimprov.com/" TargetMode="External" Id="R95dbbbc8bca34f0f" /><Relationship Type="http://schemas.openxmlformats.org/officeDocument/2006/relationships/hyperlink" Target="https://interactiveparty.com/" TargetMode="External" Id="Rdeaa1b9855234d81" /><Relationship Type="http://schemas.openxmlformats.org/officeDocument/2006/relationships/hyperlink" Target="https://toastent.com/" TargetMode="External" Id="R40a40cf0435f40cf" /><Relationship Type="http://schemas.openxmlformats.org/officeDocument/2006/relationships/hyperlink" Target="https://eventagency.planonitatx.com/" TargetMode="External" Id="R82da9be6e23345ca" /><Relationship Type="http://schemas.openxmlformats.org/officeDocument/2006/relationships/hyperlink" Target="https://fifthstreetdmc.com/" TargetMode="External" Id="Ra2ef78036aa4441f" /><Relationship Type="http://schemas.openxmlformats.org/officeDocument/2006/relationships/hyperlink" Target="https://wehelpyouparty.com/" TargetMode="External" Id="R1a0cc07308b740d2" /><Relationship Type="http://schemas.openxmlformats.org/officeDocument/2006/relationships/hyperlink" Target="https://epstx.net/" TargetMode="External" Id="R2cd3de7122774b12" /><Relationship Type="http://schemas.openxmlformats.org/officeDocument/2006/relationships/hyperlink" Target="https://altusentertainment.com/" TargetMode="External" Id="Rf4016994c3a84163" /><Relationship Type="http://schemas.openxmlformats.org/officeDocument/2006/relationships/hyperlink" Target="https://keestoneevents.com/" TargetMode="External" Id="Rc3f9a7cc78bb42a9" /><Relationship Type="http://schemas.openxmlformats.org/officeDocument/2006/relationships/hyperlink" Target="https://significanteventsoftexas.com/" TargetMode="External" Id="R2f258e62c5524cad" /><Relationship Type="http://schemas.openxmlformats.org/officeDocument/2006/relationships/hyperlink" Target="https://bespokelifeco.com/" TargetMode="External" Id="Rd726622d82394b46" /><Relationship Type="http://schemas.openxmlformats.org/officeDocument/2006/relationships/hyperlink" Target="https://shreedaevents.com/" TargetMode="External" Id="R663161d7ad554737" /><Relationship Type="http://schemas.openxmlformats.org/officeDocument/2006/relationships/hyperlink" Target="https://applauseproductions.com/" TargetMode="External" Id="R93f7ff2302284471" /><Relationship Type="http://schemas.openxmlformats.org/officeDocument/2006/relationships/hyperlink" Target="https://marksonderproductions.com/" TargetMode="External" Id="R0b69a38d5a2748cd" /><Relationship Type="http://schemas.openxmlformats.org/officeDocument/2006/relationships/hyperlink" Target="https://bravoentertainment.com/" TargetMode="External" Id="R92f5792b069745dd" /><Relationship Type="http://schemas.openxmlformats.org/officeDocument/2006/relationships/hyperlink" Target="https://45collective.com/" TargetMode="External" Id="Ra353d8beaab143ed" /><Relationship Type="http://schemas.openxmlformats.org/officeDocument/2006/relationships/hyperlink" Target="https://belleevents.com/" TargetMode="External" Id="Rbe0fa0d457254aed" /><Relationship Type="http://schemas.openxmlformats.org/officeDocument/2006/relationships/hyperlink" Target="https://houstoneventplanning.com/" TargetMode="External" Id="Rd5b1181b639549c4" /><Relationship Type="http://schemas.openxmlformats.org/officeDocument/2006/relationships/hyperlink" Target="https://thetradeentertainment.com/" TargetMode="External" Id="Rc1e4ade18f0b4023" /><Relationship Type="http://schemas.openxmlformats.org/officeDocument/2006/relationships/hyperlink" Target="https://showbusinessonline.com/" TargetMode="External" Id="Ra653fd775f8c4f14" /><Relationship Type="http://schemas.openxmlformats.org/officeDocument/2006/relationships/hyperlink" Target="https://gulfcoastentertainment.com/" TargetMode="External" Id="R3040a65cc0434498" /><Relationship Type="http://schemas.openxmlformats.org/officeDocument/2006/relationships/hyperlink" Target="https://bookece.com/" TargetMode="External" Id="Rb96a8a34b955448a" /><Relationship Type="http://schemas.openxmlformats.org/officeDocument/2006/relationships/hyperlink" Target="https://headlinebooking.com/" TargetMode="External" Id="Rcc1d0406c66d447b" /><Relationship Type="http://schemas.openxmlformats.org/officeDocument/2006/relationships/hyperlink" Target="https://entertainmenthouston.com/" TargetMode="External" Id="Ra67237b2ba6044ba" /><Relationship Type="http://schemas.openxmlformats.org/officeDocument/2006/relationships/hyperlink" Target="https://houstonluxuryevents.com/" TargetMode="External" Id="R34a424e10e5b4943" /><Relationship Type="http://schemas.openxmlformats.org/officeDocument/2006/relationships/hyperlink" Target="https://callunaevents.com/" TargetMode="External" Id="Re0f3fc14806e4167" /><Relationship Type="http://schemas.openxmlformats.org/officeDocument/2006/relationships/hyperlink" Target="https://pinkchampagneevents.com/" TargetMode="External" Id="R9e0357594ebd46a4" /><Relationship Type="http://schemas.openxmlformats.org/officeDocument/2006/relationships/hyperlink" Target="https://peakperfection.com/" TargetMode="External" Id="R45a13de18adb4079" /><Relationship Type="http://schemas.openxmlformats.org/officeDocument/2006/relationships/hyperlink" Target="https://mag-events.com/" TargetMode="External" Id="R6f342edf89d245bf" /><Relationship Type="http://schemas.openxmlformats.org/officeDocument/2006/relationships/hyperlink" Target="https://johntobeyevents.com/" TargetMode="External" Id="R3fa0fcdb0d1343fd" /><Relationship Type="http://schemas.openxmlformats.org/officeDocument/2006/relationships/hyperlink" Target="https://rmcdmc.com/" TargetMode="External" Id="R690f33084e40413e" /><Relationship Type="http://schemas.openxmlformats.org/officeDocument/2006/relationships/hyperlink" Target="https://talentdenver.com/" TargetMode="External" Id="R874898b2521e4fec" /><Relationship Type="http://schemas.openxmlformats.org/officeDocument/2006/relationships/hyperlink" Target="https://interactiondenver.com/" TargetMode="External" Id="Rcbaeff33984a4cc0" /><Relationship Type="http://schemas.openxmlformats.org/officeDocument/2006/relationships/hyperlink" Target="https://5staracts.com/" TargetMode="External" Id="R4037693b8a364276" /><Relationship Type="http://schemas.openxmlformats.org/officeDocument/2006/relationships/hyperlink" Target="https://artofairentertainment.com/" TargetMode="External" Id="Rc4e556b152384635" /><Relationship Type="http://schemas.openxmlformats.org/officeDocument/2006/relationships/hyperlink" Target="https://interactiveparty.com/" TargetMode="External" Id="Rd060f87ad4e74268" /><Relationship Type="http://schemas.openxmlformats.org/officeDocument/2006/relationships/hyperlink" Target="https://sallyarnoldevents.com/" TargetMode="External" Id="R81ac2d8888f14a8c" /><Relationship Type="http://schemas.openxmlformats.org/officeDocument/2006/relationships/hyperlink" Target="https://revelweddingco.com/" TargetMode="External" Id="R43bb33a4c7424fe5" /><Relationship Type="http://schemas.openxmlformats.org/officeDocument/2006/relationships/hyperlink" Target="https://ebelingevents.com/" TargetMode="External" Id="Rdc77d73036314c27" /><Relationship Type="http://schemas.openxmlformats.org/officeDocument/2006/relationships/hyperlink" Target="https://partymastersaz.com/" TargetMode="External" Id="Rf55eb2306aba4bf5" /><Relationship Type="http://schemas.openxmlformats.org/officeDocument/2006/relationships/hyperlink" Target="https://destariz.com/" TargetMode="External" Id="Rfd780ecece3345b7" /><Relationship Type="http://schemas.openxmlformats.org/officeDocument/2006/relationships/hyperlink" Target="https://centric.events/" TargetMode="External" Id="R9b6822e99eff4bdb" /><Relationship Type="http://schemas.openxmlformats.org/officeDocument/2006/relationships/hyperlink" Target="https://onstage.biz/" TargetMode="External" Id="Rd657c75526dd4718" /><Relationship Type="http://schemas.openxmlformats.org/officeDocument/2006/relationships/hyperlink" Target="https://scottsdaleme.com/" TargetMode="External" Id="R787b356a952d49aa" /><Relationship Type="http://schemas.openxmlformats.org/officeDocument/2006/relationships/hyperlink" Target="https://interactiveparty.com/" TargetMode="External" Id="Rfb99baa33bcc49c0" /><Relationship Type="http://schemas.openxmlformats.org/officeDocument/2006/relationships/hyperlink" Target="https://maineventsatl.com/" TargetMode="External" Id="Rac2cc8ce28cd45b2" /><Relationship Type="http://schemas.openxmlformats.org/officeDocument/2006/relationships/hyperlink" Target="https://houseofbash.net/" TargetMode="External" Id="Rb346f670fc7242d6" /><Relationship Type="http://schemas.openxmlformats.org/officeDocument/2006/relationships/hyperlink" Target="https://blueskyatlanta.com/" TargetMode="External" Id="Rdff018f954b942d0" /><Relationship Type="http://schemas.openxmlformats.org/officeDocument/2006/relationships/hyperlink" Target="https://axtellproductions.com/" TargetMode="External" Id="R1d6cd4a0365b44df" /><Relationship Type="http://schemas.openxmlformats.org/officeDocument/2006/relationships/hyperlink" Target="https://breezin.com/" TargetMode="External" Id="R6701fc5c00654d01" /><Relationship Type="http://schemas.openxmlformats.org/officeDocument/2006/relationships/hyperlink" Target="https://bookece.com/" TargetMode="External" Id="R7b017147ee2c4c11" /><Relationship Type="http://schemas.openxmlformats.org/officeDocument/2006/relationships/hyperlink" Target="https://allstageproductions.com/" TargetMode="External" Id="R8b002ce1114841b0" /><Relationship Type="http://schemas.openxmlformats.org/officeDocument/2006/relationships/hyperlink" Target="https://headlinebooking.com/" TargetMode="External" Id="R046db87cc2b14549" /><Relationship Type="http://schemas.openxmlformats.org/officeDocument/2006/relationships/hyperlink" Target="https://klfproentertainment.com/" TargetMode="External" Id="Rac881560c8fd4588" /><Relationship Type="http://schemas.openxmlformats.org/officeDocument/2006/relationships/hyperlink" Target="https://kellyandcoevents.com/" TargetMode="External" Id="R530f5fb88b0e469f" /><Relationship Type="http://schemas.openxmlformats.org/officeDocument/2006/relationships/hyperlink" Target="https://wearefabcreated.com/" TargetMode="External" Id="Rdd7caf5a59524e8b" /><Relationship Type="http://schemas.openxmlformats.org/officeDocument/2006/relationships/hyperlink" Target="https://southernsavvyevents.com/" TargetMode="External" Id="R37996d34f97144ad" /><Relationship Type="http://schemas.openxmlformats.org/officeDocument/2006/relationships/hyperlink" Target="https://pdeventplanning.com/" TargetMode="External" Id="Rf26a49bd8523427b" /><Relationship Type="http://schemas.openxmlformats.org/officeDocument/2006/relationships/hyperlink" Target="https://styleperfectevents.com/" TargetMode="External" Id="R014e469ee59148dc" /><Relationship Type="http://schemas.openxmlformats.org/officeDocument/2006/relationships/hyperlink" Target="https://sparkbydesign.events/" TargetMode="External" Id="R306867773f56470b" /><Relationship Type="http://schemas.openxmlformats.org/officeDocument/2006/relationships/hyperlink" Target="https://charlottedestinationgroup.com/" TargetMode="External" Id="Rcd93ded478fa4905" /><Relationship Type="http://schemas.openxmlformats.org/officeDocument/2006/relationships/hyperlink" Target="https://mosaixgroup.com/" TargetMode="External" Id="R9a3d258cb3f74102" /><Relationship Type="http://schemas.openxmlformats.org/officeDocument/2006/relationships/hyperlink" Target="https://tcgevents.com/" TargetMode="External" Id="R31eb472a2d254a62" /><Relationship Type="http://schemas.openxmlformats.org/officeDocument/2006/relationships/hyperlink" Target="https://amp-events.com/" TargetMode="External" Id="Rd5487f43022c4722" /><Relationship Type="http://schemas.openxmlformats.org/officeDocument/2006/relationships/hyperlink" Target="https://bookece.com/" TargetMode="External" Id="Re495eb2d35ec4d07" /><Relationship Type="http://schemas.openxmlformats.org/officeDocument/2006/relationships/hyperlink" Target="https://keysignatureonline.com/" TargetMode="External" Id="Rae6d73bd4c544f84" /><Relationship Type="http://schemas.openxmlformats.org/officeDocument/2006/relationships/hyperlink" Target="https://atgdj.com/" TargetMode="External" Id="R47d81f92e20d44a5" /><Relationship Type="http://schemas.openxmlformats.org/officeDocument/2006/relationships/hyperlink" Target="https://southernentertainment.com/" TargetMode="External" Id="R5fa2e0779df14c04" /><Relationship Type="http://schemas.openxmlformats.org/officeDocument/2006/relationships/hyperlink" Target="https://thevegasplanners.com/" TargetMode="External" Id="Rc9a9d5536ac54857" /><Relationship Type="http://schemas.openxmlformats.org/officeDocument/2006/relationships/hyperlink" Target="https://eventplanninglv.com/" TargetMode="External" Id="R25b9df3e5ff8442f" /><Relationship Type="http://schemas.openxmlformats.org/officeDocument/2006/relationships/hyperlink" Target="https://destinationfabulous.com/" TargetMode="External" Id="Re9c3d1cdb9f04fcc" /><Relationship Type="http://schemas.openxmlformats.org/officeDocument/2006/relationships/hyperlink" Target="https://avenueeventgroup.com/" TargetMode="External" Id="R7cf36634bf734829" /><Relationship Type="http://schemas.openxmlformats.org/officeDocument/2006/relationships/hyperlink" Target="https://mcadmc.com/" TargetMode="External" Id="R28a5e2a326484261" /><Relationship Type="http://schemas.openxmlformats.org/officeDocument/2006/relationships/hyperlink" Target="https://atozevents.com/" TargetMode="External" Id="Re23a75b206734ea5" /><Relationship Type="http://schemas.openxmlformats.org/officeDocument/2006/relationships/hyperlink" Target="https://by-dzign.com/" TargetMode="External" Id="R3661454a3b6141b0" /><Relationship Type="http://schemas.openxmlformats.org/officeDocument/2006/relationships/hyperlink" Target="https://dtlvevents.com/" TargetMode="External" Id="R5a1084b0c6ca40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9658cd0e714f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826037ae5f48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b0d4949ba44e0e" /><Relationship Type="http://schemas.openxmlformats.org/officeDocument/2006/relationships/table" Target="/xl/tables/table4.xml" Id="R901d32f5c1744045" /><Relationship Type="http://schemas.openxmlformats.org/officeDocument/2006/relationships/table" Target="/xl/tables/table5.xml" Id="R0a54bb5ed5cc4f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0bb95fcf5cca40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85262a7448242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6" hidden="0" customWidth="1"/>
    <x:col min="2" max="2" width="20" hidden="0" customWidth="1"/>
    <x:col min="3" max="3" width="12" hidden="0" customWidth="1"/>
    <x:col min="4" max="4" width="7" hidden="0" customWidth="1"/>
    <x:col min="5" max="5" width="34" hidden="0" customWidth="1"/>
    <x:col min="6" max="6" width="26" hidden="0" customWidth="1"/>
    <x:col min="7" max="7" width="44" hidden="0" customWidth="1"/>
    <x:col min="8" max="9" width="14" hidden="0" customWidth="1"/>
  </x:cols>
  <x:sheetData>
    <x:row r="1" ht="15" hidden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ht="15" hidden="0">
      <x:c r="A2" s="2" t="s">
        <x:v>9</x:v>
      </x:c>
      <x:c r="B2" s="2" t="s">
        <x:v>10</x:v>
      </x:c>
      <x:c r="C2" s="2" t="s">
        <x:v>11</x:v>
      </x:c>
      <x:c r="D2" s="2" t="s">
        <x:v>12</x:v>
      </x:c>
      <x:c r="E2" s="3" t="s">
        <x:v>13</x:v>
      </x:c>
      <x:c r="F2" s="2"/>
      <x:c r="G2" s="2" t="s">
        <x:v>14</x:v>
      </x:c>
      <x:c r="H2" s="2" t="s">
        <x:v>15</x:v>
      </x:c>
      <x:c r="I2" s="2"/>
    </x:row>
    <x:row r="3" ht="15" hidden="0">
      <x:c r="A3" s="4" t="s">
        <x:v>16</x:v>
      </x:c>
      <x:c r="B3" s="4" t="s">
        <x:v>10</x:v>
      </x:c>
      <x:c r="C3" s="4" t="s">
        <x:v>11</x:v>
      </x:c>
      <x:c r="D3" s="4" t="s">
        <x:v>12</x:v>
      </x:c>
      <x:c r="E3" s="5" t="s">
        <x:v>17</x:v>
      </x:c>
      <x:c r="F3" s="4"/>
      <x:c r="G3" s="4" t="s">
        <x:v>18</x:v>
      </x:c>
      <x:c r="H3" s="4" t="s">
        <x:v>15</x:v>
      </x:c>
      <x:c r="I3" s="4"/>
    </x:row>
    <x:row r="4" ht="15" hidden="0">
      <x:c r="A4" s="2" t="s">
        <x:v>19</x:v>
      </x:c>
      <x:c r="B4" s="2" t="s">
        <x:v>10</x:v>
      </x:c>
      <x:c r="C4" s="2" t="s">
        <x:v>11</x:v>
      </x:c>
      <x:c r="D4" s="2" t="s">
        <x:v>12</x:v>
      </x:c>
      <x:c r="E4" s="2"/>
      <x:c r="F4" s="2"/>
      <x:c r="G4" s="2" t="s">
        <x:v>20</x:v>
      </x:c>
      <x:c r="H4" s="2" t="s">
        <x:v>15</x:v>
      </x:c>
      <x:c r="I4" s="2"/>
    </x:row>
    <x:row r="5" ht="15" hidden="0">
      <x:c r="A5" s="4" t="s">
        <x:v>21</x:v>
      </x:c>
      <x:c r="B5" s="4" t="s">
        <x:v>10</x:v>
      </x:c>
      <x:c r="C5" s="4" t="s">
        <x:v>11</x:v>
      </x:c>
      <x:c r="D5" s="4" t="s">
        <x:v>12</x:v>
      </x:c>
      <x:c r="E5" s="4"/>
      <x:c r="F5" s="4"/>
      <x:c r="G5" s="4" t="s">
        <x:v>22</x:v>
      </x:c>
      <x:c r="H5" s="4" t="s">
        <x:v>15</x:v>
      </x:c>
      <x:c r="I5" s="4"/>
    </x:row>
    <x:row r="6" ht="15" hidden="0">
      <x:c r="A6" s="2" t="s">
        <x:v>23</x:v>
      </x:c>
      <x:c r="B6" s="2" t="s">
        <x:v>10</x:v>
      </x:c>
      <x:c r="C6" s="2" t="s">
        <x:v>11</x:v>
      </x:c>
      <x:c r="D6" s="2" t="s">
        <x:v>12</x:v>
      </x:c>
      <x:c r="E6" s="2"/>
      <x:c r="F6" s="2"/>
      <x:c r="G6" s="2" t="s">
        <x:v>24</x:v>
      </x:c>
      <x:c r="H6" s="2" t="s">
        <x:v>15</x:v>
      </x:c>
      <x:c r="I6" s="2"/>
    </x:row>
    <x:row r="7" ht="15" hidden="0">
      <x:c r="A7" s="4" t="s">
        <x:v>25</x:v>
      </x:c>
      <x:c r="B7" s="4" t="s">
        <x:v>10</x:v>
      </x:c>
      <x:c r="C7" s="4" t="s">
        <x:v>11</x:v>
      </x:c>
      <x:c r="D7" s="4" t="s">
        <x:v>12</x:v>
      </x:c>
      <x:c r="E7" s="4"/>
      <x:c r="F7" s="4"/>
      <x:c r="G7" s="4" t="s">
        <x:v>26</x:v>
      </x:c>
      <x:c r="H7" s="4" t="s">
        <x:v>15</x:v>
      </x:c>
      <x:c r="I7" s="4"/>
    </x:row>
    <x:row r="8" ht="15" hidden="0">
      <x:c r="A8" s="2" t="s">
        <x:v>27</x:v>
      </x:c>
      <x:c r="B8" s="2" t="s">
        <x:v>10</x:v>
      </x:c>
      <x:c r="C8" s="2" t="s">
        <x:v>11</x:v>
      </x:c>
      <x:c r="D8" s="2" t="s">
        <x:v>12</x:v>
      </x:c>
      <x:c r="E8" s="2"/>
      <x:c r="F8" s="2"/>
      <x:c r="G8" s="2" t="s">
        <x:v>28</x:v>
      </x:c>
      <x:c r="H8" s="2" t="s">
        <x:v>15</x:v>
      </x:c>
      <x:c r="I8" s="2"/>
    </x:row>
    <x:row r="9" ht="15" hidden="0">
      <x:c r="A9" s="4" t="s">
        <x:v>29</x:v>
      </x:c>
      <x:c r="B9" s="4" t="s">
        <x:v>10</x:v>
      </x:c>
      <x:c r="C9" s="4" t="s">
        <x:v>11</x:v>
      </x:c>
      <x:c r="D9" s="4" t="s">
        <x:v>12</x:v>
      </x:c>
      <x:c r="E9" s="4"/>
      <x:c r="F9" s="4"/>
      <x:c r="G9" s="4" t="s">
        <x:v>30</x:v>
      </x:c>
      <x:c r="H9" s="4" t="s">
        <x:v>15</x:v>
      </x:c>
      <x:c r="I9" s="4"/>
    </x:row>
    <x:row r="10" ht="15" hidden="0">
      <x:c r="A10" s="2" t="s">
        <x:v>31</x:v>
      </x:c>
      <x:c r="B10" s="2" t="s">
        <x:v>32</x:v>
      </x:c>
      <x:c r="C10" s="2" t="s">
        <x:v>11</x:v>
      </x:c>
      <x:c r="D10" s="2" t="s">
        <x:v>12</x:v>
      </x:c>
      <x:c r="E10" s="3" t="s">
        <x:v>33</x:v>
      </x:c>
      <x:c r="F10" s="2"/>
      <x:c r="G10" s="2" t="s">
        <x:v>34</x:v>
      </x:c>
      <x:c r="H10" s="2" t="s">
        <x:v>15</x:v>
      </x:c>
      <x:c r="I10" s="2"/>
    </x:row>
    <x:row r="11" ht="15" hidden="0">
      <x:c r="A11" s="4" t="s">
        <x:v>35</x:v>
      </x:c>
      <x:c r="B11" s="4" t="s">
        <x:v>32</x:v>
      </x:c>
      <x:c r="C11" s="4" t="s">
        <x:v>11</x:v>
      </x:c>
      <x:c r="D11" s="4" t="s">
        <x:v>12</x:v>
      </x:c>
      <x:c r="E11" s="5" t="s">
        <x:v>36</x:v>
      </x:c>
      <x:c r="F11" s="4"/>
      <x:c r="G11" s="4" t="s">
        <x:v>37</x:v>
      </x:c>
      <x:c r="H11" s="4" t="s">
        <x:v>15</x:v>
      </x:c>
      <x:c r="I11" s="4"/>
    </x:row>
    <x:row r="12" ht="15" hidden="0">
      <x:c r="A12" s="2" t="s">
        <x:v>38</x:v>
      </x:c>
      <x:c r="B12" s="2" t="s">
        <x:v>32</x:v>
      </x:c>
      <x:c r="C12" s="2" t="s">
        <x:v>11</x:v>
      </x:c>
      <x:c r="D12" s="2" t="s">
        <x:v>12</x:v>
      </x:c>
      <x:c r="E12" s="3" t="s">
        <x:v>39</x:v>
      </x:c>
      <x:c r="F12" s="2"/>
      <x:c r="G12" s="2" t="s">
        <x:v>40</x:v>
      </x:c>
      <x:c r="H12" s="2" t="s">
        <x:v>15</x:v>
      </x:c>
      <x:c r="I12" s="2"/>
    </x:row>
    <x:row r="13" ht="15" hidden="0">
      <x:c r="A13" s="4" t="s">
        <x:v>41</x:v>
      </x:c>
      <x:c r="B13" s="4" t="s">
        <x:v>32</x:v>
      </x:c>
      <x:c r="C13" s="4" t="s">
        <x:v>11</x:v>
      </x:c>
      <x:c r="D13" s="4" t="s">
        <x:v>12</x:v>
      </x:c>
      <x:c r="E13" s="5" t="s">
        <x:v>42</x:v>
      </x:c>
      <x:c r="F13" s="4"/>
      <x:c r="G13" s="4" t="s">
        <x:v>43</x:v>
      </x:c>
      <x:c r="H13" s="4" t="s">
        <x:v>15</x:v>
      </x:c>
      <x:c r="I13" s="4"/>
    </x:row>
    <x:row r="14" ht="15" hidden="0">
      <x:c r="A14" s="2" t="s">
        <x:v>44</x:v>
      </x:c>
      <x:c r="B14" s="2" t="s">
        <x:v>32</x:v>
      </x:c>
      <x:c r="C14" s="2" t="s">
        <x:v>11</x:v>
      </x:c>
      <x:c r="D14" s="2" t="s">
        <x:v>12</x:v>
      </x:c>
      <x:c r="E14" s="3" t="s">
        <x:v>45</x:v>
      </x:c>
      <x:c r="F14" s="2"/>
      <x:c r="G14" s="2" t="s">
        <x:v>46</x:v>
      </x:c>
      <x:c r="H14" s="2" t="s">
        <x:v>15</x:v>
      </x:c>
      <x:c r="I14" s="2"/>
    </x:row>
    <x:row r="15" ht="15" hidden="0">
      <x:c r="A15" s="4" t="s">
        <x:v>47</x:v>
      </x:c>
      <x:c r="B15" s="4" t="s">
        <x:v>32</x:v>
      </x:c>
      <x:c r="C15" s="4" t="s">
        <x:v>11</x:v>
      </x:c>
      <x:c r="D15" s="4" t="s">
        <x:v>12</x:v>
      </x:c>
      <x:c r="E15" s="5" t="s">
        <x:v>48</x:v>
      </x:c>
      <x:c r="F15" s="4"/>
      <x:c r="G15" s="4" t="s">
        <x:v>49</x:v>
      </x:c>
      <x:c r="H15" s="4" t="s">
        <x:v>15</x:v>
      </x:c>
      <x:c r="I15" s="4"/>
    </x:row>
    <x:row r="16" ht="15" hidden="0">
      <x:c r="A16" s="2" t="s">
        <x:v>50</x:v>
      </x:c>
      <x:c r="B16" s="2" t="s">
        <x:v>32</x:v>
      </x:c>
      <x:c r="C16" s="2" t="s">
        <x:v>11</x:v>
      </x:c>
      <x:c r="D16" s="2" t="s">
        <x:v>12</x:v>
      </x:c>
      <x:c r="E16" s="3" t="s">
        <x:v>51</x:v>
      </x:c>
      <x:c r="F16" s="2"/>
      <x:c r="G16" s="2" t="s">
        <x:v>52</x:v>
      </x:c>
      <x:c r="H16" s="2" t="s">
        <x:v>15</x:v>
      </x:c>
      <x:c r="I16" s="2"/>
    </x:row>
    <x:row r="17" ht="15" hidden="0">
      <x:c r="A17" s="4" t="s">
        <x:v>53</x:v>
      </x:c>
      <x:c r="B17" s="4" t="s">
        <x:v>54</x:v>
      </x:c>
      <x:c r="C17" s="4" t="s">
        <x:v>11</x:v>
      </x:c>
      <x:c r="D17" s="4" t="s">
        <x:v>12</x:v>
      </x:c>
      <x:c r="E17" s="5" t="s">
        <x:v>55</x:v>
      </x:c>
      <x:c r="F17" s="4"/>
      <x:c r="G17" s="4" t="s">
        <x:v>56</x:v>
      </x:c>
      <x:c r="H17" s="4" t="s">
        <x:v>15</x:v>
      </x:c>
      <x:c r="I17" s="4"/>
    </x:row>
    <x:row r="18" ht="15" hidden="0">
      <x:c r="A18" s="2" t="s">
        <x:v>57</x:v>
      </x:c>
      <x:c r="B18" s="2" t="s">
        <x:v>54</x:v>
      </x:c>
      <x:c r="C18" s="2" t="s">
        <x:v>11</x:v>
      </x:c>
      <x:c r="D18" s="2" t="s">
        <x:v>12</x:v>
      </x:c>
      <x:c r="E18" s="3" t="s">
        <x:v>58</x:v>
      </x:c>
      <x:c r="F18" s="2"/>
      <x:c r="G18" s="2" t="s">
        <x:v>59</x:v>
      </x:c>
      <x:c r="H18" s="2" t="s">
        <x:v>15</x:v>
      </x:c>
      <x:c r="I18" s="2"/>
    </x:row>
    <x:row r="19" ht="15" hidden="0">
      <x:c r="A19" s="4" t="s">
        <x:v>60</x:v>
      </x:c>
      <x:c r="B19" s="4" t="s">
        <x:v>54</x:v>
      </x:c>
      <x:c r="C19" s="4" t="s">
        <x:v>11</x:v>
      </x:c>
      <x:c r="D19" s="4" t="s">
        <x:v>12</x:v>
      </x:c>
      <x:c r="E19" s="5" t="s">
        <x:v>61</x:v>
      </x:c>
      <x:c r="F19" s="4"/>
      <x:c r="G19" s="4" t="s">
        <x:v>62</x:v>
      </x:c>
      <x:c r="H19" s="4" t="s">
        <x:v>15</x:v>
      </x:c>
      <x:c r="I19" s="4"/>
    </x:row>
    <x:row r="20" ht="15" hidden="0">
      <x:c r="A20" s="2" t="s">
        <x:v>63</x:v>
      </x:c>
      <x:c r="B20" s="2" t="s">
        <x:v>54</x:v>
      </x:c>
      <x:c r="C20" s="2" t="s">
        <x:v>11</x:v>
      </x:c>
      <x:c r="D20" s="2" t="s">
        <x:v>12</x:v>
      </x:c>
      <x:c r="E20" s="3" t="s">
        <x:v>64</x:v>
      </x:c>
      <x:c r="F20" s="2"/>
      <x:c r="G20" s="2" t="s">
        <x:v>65</x:v>
      </x:c>
      <x:c r="H20" s="2" t="s">
        <x:v>15</x:v>
      </x:c>
      <x:c r="I20" s="2"/>
    </x:row>
    <x:row r="21" ht="15" hidden="0">
      <x:c r="A21" s="4" t="s">
        <x:v>66</x:v>
      </x:c>
      <x:c r="B21" s="4" t="s">
        <x:v>54</x:v>
      </x:c>
      <x:c r="C21" s="4" t="s">
        <x:v>11</x:v>
      </x:c>
      <x:c r="D21" s="4" t="s">
        <x:v>12</x:v>
      </x:c>
      <x:c r="E21" s="5" t="s">
        <x:v>67</x:v>
      </x:c>
      <x:c r="F21" s="4"/>
      <x:c r="G21" s="4" t="s">
        <x:v>68</x:v>
      </x:c>
      <x:c r="H21" s="4" t="s">
        <x:v>15</x:v>
      </x:c>
      <x:c r="I21" s="4"/>
    </x:row>
    <x:row r="22" ht="15" hidden="0">
      <x:c r="A22" s="2" t="s">
        <x:v>69</x:v>
      </x:c>
      <x:c r="B22" s="2" t="s">
        <x:v>10</x:v>
      </x:c>
      <x:c r="C22" s="2" t="s">
        <x:v>70</x:v>
      </x:c>
      <x:c r="D22" s="2" t="s">
        <x:v>71</x:v>
      </x:c>
      <x:c r="E22" s="3" t="s">
        <x:v>72</x:v>
      </x:c>
      <x:c r="F22" s="2"/>
      <x:c r="G22" s="2" t="s">
        <x:v>73</x:v>
      </x:c>
      <x:c r="H22" s="2" t="s">
        <x:v>15</x:v>
      </x:c>
      <x:c r="I22" s="2"/>
    </x:row>
    <x:row r="23" ht="15" hidden="0">
      <x:c r="A23" s="4" t="s">
        <x:v>74</x:v>
      </x:c>
      <x:c r="B23" s="4" t="s">
        <x:v>10</x:v>
      </x:c>
      <x:c r="C23" s="4" t="s">
        <x:v>70</x:v>
      </x:c>
      <x:c r="D23" s="4" t="s">
        <x:v>71</x:v>
      </x:c>
      <x:c r="E23" s="5" t="s">
        <x:v>75</x:v>
      </x:c>
      <x:c r="F23" s="4"/>
      <x:c r="G23" s="4" t="s">
        <x:v>76</x:v>
      </x:c>
      <x:c r="H23" s="4" t="s">
        <x:v>15</x:v>
      </x:c>
      <x:c r="I23" s="4"/>
    </x:row>
    <x:row r="24" ht="15" hidden="0">
      <x:c r="A24" s="2" t="s">
        <x:v>77</x:v>
      </x:c>
      <x:c r="B24" s="2" t="s">
        <x:v>10</x:v>
      </x:c>
      <x:c r="C24" s="2" t="s">
        <x:v>70</x:v>
      </x:c>
      <x:c r="D24" s="2" t="s">
        <x:v>71</x:v>
      </x:c>
      <x:c r="E24" s="3" t="s">
        <x:v>78</x:v>
      </x:c>
      <x:c r="F24" s="2"/>
      <x:c r="G24" s="2" t="s">
        <x:v>79</x:v>
      </x:c>
      <x:c r="H24" s="2" t="s">
        <x:v>15</x:v>
      </x:c>
      <x:c r="I24" s="2"/>
    </x:row>
    <x:row r="25" ht="15" hidden="0">
      <x:c r="A25" s="4" t="s">
        <x:v>80</x:v>
      </x:c>
      <x:c r="B25" s="4" t="s">
        <x:v>10</x:v>
      </x:c>
      <x:c r="C25" s="4" t="s">
        <x:v>70</x:v>
      </x:c>
      <x:c r="D25" s="4" t="s">
        <x:v>71</x:v>
      </x:c>
      <x:c r="E25" s="5" t="s">
        <x:v>81</x:v>
      </x:c>
      <x:c r="F25" s="4"/>
      <x:c r="G25" s="4" t="s">
        <x:v>82</x:v>
      </x:c>
      <x:c r="H25" s="4" t="s">
        <x:v>15</x:v>
      </x:c>
      <x:c r="I25" s="4"/>
    </x:row>
    <x:row r="26" ht="15" hidden="0">
      <x:c r="A26" s="2" t="s">
        <x:v>83</x:v>
      </x:c>
      <x:c r="B26" s="2" t="s">
        <x:v>10</x:v>
      </x:c>
      <x:c r="C26" s="2" t="s">
        <x:v>70</x:v>
      </x:c>
      <x:c r="D26" s="2" t="s">
        <x:v>71</x:v>
      </x:c>
      <x:c r="E26" s="2"/>
      <x:c r="F26" s="2"/>
      <x:c r="G26" s="2" t="s">
        <x:v>84</x:v>
      </x:c>
      <x:c r="H26" s="2" t="s">
        <x:v>15</x:v>
      </x:c>
      <x:c r="I26" s="2"/>
    </x:row>
    <x:row r="27" ht="15" hidden="0">
      <x:c r="A27" s="4" t="s">
        <x:v>85</x:v>
      </x:c>
      <x:c r="B27" s="4" t="s">
        <x:v>10</x:v>
      </x:c>
      <x:c r="C27" s="4" t="s">
        <x:v>70</x:v>
      </x:c>
      <x:c r="D27" s="4" t="s">
        <x:v>71</x:v>
      </x:c>
      <x:c r="E27" s="4"/>
      <x:c r="F27" s="4"/>
      <x:c r="G27" s="4" t="s">
        <x:v>86</x:v>
      </x:c>
      <x:c r="H27" s="4" t="s">
        <x:v>15</x:v>
      </x:c>
      <x:c r="I27" s="4"/>
    </x:row>
    <x:row r="28" ht="15" hidden="0">
      <x:c r="A28" s="2" t="s">
        <x:v>87</x:v>
      </x:c>
      <x:c r="B28" s="2" t="s">
        <x:v>10</x:v>
      </x:c>
      <x:c r="C28" s="2" t="s">
        <x:v>70</x:v>
      </x:c>
      <x:c r="D28" s="2" t="s">
        <x:v>71</x:v>
      </x:c>
      <x:c r="E28" s="2"/>
      <x:c r="F28" s="2"/>
      <x:c r="G28" s="2" t="s">
        <x:v>88</x:v>
      </x:c>
      <x:c r="H28" s="2" t="s">
        <x:v>15</x:v>
      </x:c>
      <x:c r="I28" s="2"/>
    </x:row>
    <x:row r="29" ht="15" hidden="0">
      <x:c r="A29" s="4" t="s">
        <x:v>89</x:v>
      </x:c>
      <x:c r="B29" s="4" t="s">
        <x:v>10</x:v>
      </x:c>
      <x:c r="C29" s="4" t="s">
        <x:v>70</x:v>
      </x:c>
      <x:c r="D29" s="4" t="s">
        <x:v>71</x:v>
      </x:c>
      <x:c r="E29" s="4"/>
      <x:c r="F29" s="4"/>
      <x:c r="G29" s="4" t="s">
        <x:v>90</x:v>
      </x:c>
      <x:c r="H29" s="4" t="s">
        <x:v>15</x:v>
      </x:c>
      <x:c r="I29" s="4"/>
    </x:row>
    <x:row r="30" ht="15" hidden="0">
      <x:c r="A30" s="2" t="s">
        <x:v>91</x:v>
      </x:c>
      <x:c r="B30" s="2" t="s">
        <x:v>10</x:v>
      </x:c>
      <x:c r="C30" s="2" t="s">
        <x:v>70</x:v>
      </x:c>
      <x:c r="D30" s="2" t="s">
        <x:v>71</x:v>
      </x:c>
      <x:c r="E30" s="2"/>
      <x:c r="F30" s="2"/>
      <x:c r="G30" s="2" t="s">
        <x:v>92</x:v>
      </x:c>
      <x:c r="H30" s="2" t="s">
        <x:v>15</x:v>
      </x:c>
      <x:c r="I30" s="2"/>
    </x:row>
    <x:row r="31" ht="15" hidden="0">
      <x:c r="A31" s="4" t="s">
        <x:v>93</x:v>
      </x:c>
      <x:c r="B31" s="4" t="s">
        <x:v>32</x:v>
      </x:c>
      <x:c r="C31" s="4" t="s">
        <x:v>70</x:v>
      </x:c>
      <x:c r="D31" s="4" t="s">
        <x:v>71</x:v>
      </x:c>
      <x:c r="E31" s="4"/>
      <x:c r="F31" s="4"/>
      <x:c r="G31" s="4" t="s">
        <x:v>94</x:v>
      </x:c>
      <x:c r="H31" s="4" t="s">
        <x:v>15</x:v>
      </x:c>
      <x:c r="I31" s="4"/>
    </x:row>
    <x:row r="32" ht="15" hidden="0">
      <x:c r="A32" s="2" t="s">
        <x:v>95</x:v>
      </x:c>
      <x:c r="B32" s="2" t="s">
        <x:v>32</x:v>
      </x:c>
      <x:c r="C32" s="2" t="s">
        <x:v>70</x:v>
      </x:c>
      <x:c r="D32" s="2" t="s">
        <x:v>71</x:v>
      </x:c>
      <x:c r="E32" s="3" t="s">
        <x:v>96</x:v>
      </x:c>
      <x:c r="F32" s="2"/>
      <x:c r="G32" s="2" t="s">
        <x:v>97</x:v>
      </x:c>
      <x:c r="H32" s="2" t="s">
        <x:v>15</x:v>
      </x:c>
      <x:c r="I32" s="2"/>
    </x:row>
    <x:row r="33" ht="15" hidden="0">
      <x:c r="A33" s="4" t="s">
        <x:v>98</x:v>
      </x:c>
      <x:c r="B33" s="4" t="s">
        <x:v>32</x:v>
      </x:c>
      <x:c r="C33" s="4" t="s">
        <x:v>70</x:v>
      </x:c>
      <x:c r="D33" s="4" t="s">
        <x:v>71</x:v>
      </x:c>
      <x:c r="E33" s="5" t="s">
        <x:v>99</x:v>
      </x:c>
      <x:c r="F33" s="4"/>
      <x:c r="G33" s="4" t="s">
        <x:v>100</x:v>
      </x:c>
      <x:c r="H33" s="4" t="s">
        <x:v>15</x:v>
      </x:c>
      <x:c r="I33" s="4"/>
    </x:row>
    <x:row r="34" ht="15" hidden="0">
      <x:c r="A34" s="2" t="s">
        <x:v>101</x:v>
      </x:c>
      <x:c r="B34" s="2" t="s">
        <x:v>32</x:v>
      </x:c>
      <x:c r="C34" s="2" t="s">
        <x:v>70</x:v>
      </x:c>
      <x:c r="D34" s="2" t="s">
        <x:v>71</x:v>
      </x:c>
      <x:c r="E34" s="3" t="s">
        <x:v>102</x:v>
      </x:c>
      <x:c r="F34" s="2"/>
      <x:c r="G34" s="2" t="s">
        <x:v>103</x:v>
      </x:c>
      <x:c r="H34" s="2" t="s">
        <x:v>15</x:v>
      </x:c>
      <x:c r="I34" s="2"/>
    </x:row>
    <x:row r="35" ht="15" hidden="0">
      <x:c r="A35" s="4" t="s">
        <x:v>104</x:v>
      </x:c>
      <x:c r="B35" s="4" t="s">
        <x:v>54</x:v>
      </x:c>
      <x:c r="C35" s="4" t="s">
        <x:v>70</x:v>
      </x:c>
      <x:c r="D35" s="4" t="s">
        <x:v>71</x:v>
      </x:c>
      <x:c r="E35" s="5" t="s">
        <x:v>105</x:v>
      </x:c>
      <x:c r="F35" s="4"/>
      <x:c r="G35" s="4" t="s">
        <x:v>106</x:v>
      </x:c>
      <x:c r="H35" s="4" t="s">
        <x:v>15</x:v>
      </x:c>
      <x:c r="I35" s="4"/>
    </x:row>
    <x:row r="36" ht="15" hidden="0">
      <x:c r="A36" s="2" t="s">
        <x:v>107</x:v>
      </x:c>
      <x:c r="B36" s="2" t="s">
        <x:v>54</x:v>
      </x:c>
      <x:c r="C36" s="2" t="s">
        <x:v>70</x:v>
      </x:c>
      <x:c r="D36" s="2" t="s">
        <x:v>71</x:v>
      </x:c>
      <x:c r="E36" s="3" t="s">
        <x:v>108</x:v>
      </x:c>
      <x:c r="F36" s="2"/>
      <x:c r="G36" s="2" t="s">
        <x:v>109</x:v>
      </x:c>
      <x:c r="H36" s="2" t="s">
        <x:v>15</x:v>
      </x:c>
      <x:c r="I36" s="2"/>
    </x:row>
    <x:row r="37" ht="15" hidden="0">
      <x:c r="A37" s="4" t="s">
        <x:v>110</x:v>
      </x:c>
      <x:c r="B37" s="4" t="s">
        <x:v>54</x:v>
      </x:c>
      <x:c r="C37" s="4" t="s">
        <x:v>70</x:v>
      </x:c>
      <x:c r="D37" s="4" t="s">
        <x:v>71</x:v>
      </x:c>
      <x:c r="E37" s="5" t="s">
        <x:v>111</x:v>
      </x:c>
      <x:c r="F37" s="4"/>
      <x:c r="G37" s="4" t="s">
        <x:v>112</x:v>
      </x:c>
      <x:c r="H37" s="4" t="s">
        <x:v>15</x:v>
      </x:c>
      <x:c r="I37" s="4"/>
    </x:row>
    <x:row r="38" ht="15" hidden="0">
      <x:c r="A38" s="2" t="s">
        <x:v>113</x:v>
      </x:c>
      <x:c r="B38" s="2" t="s">
        <x:v>10</x:v>
      </x:c>
      <x:c r="C38" s="2" t="s">
        <x:v>114</x:v>
      </x:c>
      <x:c r="D38" s="2" t="s">
        <x:v>71</x:v>
      </x:c>
      <x:c r="E38" s="2"/>
      <x:c r="F38" s="2"/>
      <x:c r="G38" s="2" t="s">
        <x:v>115</x:v>
      </x:c>
      <x:c r="H38" s="2" t="s">
        <x:v>15</x:v>
      </x:c>
      <x:c r="I38" s="2"/>
    </x:row>
    <x:row r="39" ht="15" hidden="0">
      <x:c r="A39" s="4" t="s">
        <x:v>116</x:v>
      </x:c>
      <x:c r="B39" s="4" t="s">
        <x:v>10</x:v>
      </x:c>
      <x:c r="C39" s="4" t="s">
        <x:v>114</x:v>
      </x:c>
      <x:c r="D39" s="4" t="s">
        <x:v>71</x:v>
      </x:c>
      <x:c r="E39" s="4"/>
      <x:c r="F39" s="4"/>
      <x:c r="G39" s="4" t="s">
        <x:v>117</x:v>
      </x:c>
      <x:c r="H39" s="4" t="s">
        <x:v>15</x:v>
      </x:c>
      <x:c r="I39" s="4"/>
    </x:row>
    <x:row r="40" ht="15" hidden="0">
      <x:c r="A40" s="2" t="s">
        <x:v>118</x:v>
      </x:c>
      <x:c r="B40" s="2" t="s">
        <x:v>10</x:v>
      </x:c>
      <x:c r="C40" s="2" t="s">
        <x:v>114</x:v>
      </x:c>
      <x:c r="D40" s="2" t="s">
        <x:v>71</x:v>
      </x:c>
      <x:c r="E40" s="2"/>
      <x:c r="F40" s="2"/>
      <x:c r="G40" s="2" t="s">
        <x:v>119</x:v>
      </x:c>
      <x:c r="H40" s="2" t="s">
        <x:v>15</x:v>
      </x:c>
      <x:c r="I40" s="2"/>
    </x:row>
    <x:row r="41" ht="15" hidden="0">
      <x:c r="A41" s="4" t="s">
        <x:v>120</x:v>
      </x:c>
      <x:c r="B41" s="4" t="s">
        <x:v>10</x:v>
      </x:c>
      <x:c r="C41" s="4" t="s">
        <x:v>114</x:v>
      </x:c>
      <x:c r="D41" s="4" t="s">
        <x:v>71</x:v>
      </x:c>
      <x:c r="E41" s="4"/>
      <x:c r="F41" s="4"/>
      <x:c r="G41" s="4" t="s">
        <x:v>121</x:v>
      </x:c>
      <x:c r="H41" s="4" t="s">
        <x:v>15</x:v>
      </x:c>
      <x:c r="I41" s="4"/>
    </x:row>
    <x:row r="42" ht="15" hidden="0">
      <x:c r="A42" s="2" t="s">
        <x:v>122</x:v>
      </x:c>
      <x:c r="B42" s="2" t="s">
        <x:v>10</x:v>
      </x:c>
      <x:c r="C42" s="2" t="s">
        <x:v>114</x:v>
      </x:c>
      <x:c r="D42" s="2" t="s">
        <x:v>71</x:v>
      </x:c>
      <x:c r="E42" s="3" t="s">
        <x:v>123</x:v>
      </x:c>
      <x:c r="F42" s="2"/>
      <x:c r="G42" s="2" t="s">
        <x:v>124</x:v>
      </x:c>
      <x:c r="H42" s="2" t="s">
        <x:v>15</x:v>
      </x:c>
      <x:c r="I42" s="2"/>
    </x:row>
    <x:row r="43" ht="15" hidden="0">
      <x:c r="A43" s="4" t="s">
        <x:v>125</x:v>
      </x:c>
      <x:c r="B43" s="4" t="s">
        <x:v>32</x:v>
      </x:c>
      <x:c r="C43" s="4" t="s">
        <x:v>114</x:v>
      </x:c>
      <x:c r="D43" s="4" t="s">
        <x:v>71</x:v>
      </x:c>
      <x:c r="E43" s="5" t="s">
        <x:v>126</x:v>
      </x:c>
      <x:c r="F43" s="4"/>
      <x:c r="G43" s="4" t="s">
        <x:v>127</x:v>
      </x:c>
      <x:c r="H43" s="4" t="s">
        <x:v>15</x:v>
      </x:c>
      <x:c r="I43" s="4"/>
    </x:row>
    <x:row r="44" ht="15" hidden="0">
      <x:c r="A44" s="2" t="s">
        <x:v>128</x:v>
      </x:c>
      <x:c r="B44" s="2" t="s">
        <x:v>32</x:v>
      </x:c>
      <x:c r="C44" s="2" t="s">
        <x:v>114</x:v>
      </x:c>
      <x:c r="D44" s="2" t="s">
        <x:v>71</x:v>
      </x:c>
      <x:c r="E44" s="3" t="s">
        <x:v>129</x:v>
      </x:c>
      <x:c r="F44" s="2"/>
      <x:c r="G44" s="2" t="s">
        <x:v>130</x:v>
      </x:c>
      <x:c r="H44" s="2" t="s">
        <x:v>15</x:v>
      </x:c>
      <x:c r="I44" s="2"/>
    </x:row>
    <x:row r="45" ht="15" hidden="0">
      <x:c r="A45" s="4" t="s">
        <x:v>131</x:v>
      </x:c>
      <x:c r="B45" s="4" t="s">
        <x:v>32</x:v>
      </x:c>
      <x:c r="C45" s="4" t="s">
        <x:v>114</x:v>
      </x:c>
      <x:c r="D45" s="4" t="s">
        <x:v>71</x:v>
      </x:c>
      <x:c r="E45" s="4"/>
      <x:c r="F45" s="4"/>
      <x:c r="G45" s="4" t="s">
        <x:v>132</x:v>
      </x:c>
      <x:c r="H45" s="4" t="s">
        <x:v>15</x:v>
      </x:c>
      <x:c r="I45" s="4"/>
    </x:row>
    <x:row r="46" ht="15" hidden="0">
      <x:c r="A46" s="2" t="s">
        <x:v>133</x:v>
      </x:c>
      <x:c r="B46" s="2" t="s">
        <x:v>32</x:v>
      </x:c>
      <x:c r="C46" s="2" t="s">
        <x:v>114</x:v>
      </x:c>
      <x:c r="D46" s="2" t="s">
        <x:v>71</x:v>
      </x:c>
      <x:c r="E46" s="2"/>
      <x:c r="F46" s="2"/>
      <x:c r="G46" s="2" t="s">
        <x:v>134</x:v>
      </x:c>
      <x:c r="H46" s="2" t="s">
        <x:v>15</x:v>
      </x:c>
      <x:c r="I46" s="2"/>
    </x:row>
    <x:row r="47" ht="15" hidden="0">
      <x:c r="A47" s="4" t="s">
        <x:v>135</x:v>
      </x:c>
      <x:c r="B47" s="4" t="s">
        <x:v>32</x:v>
      </x:c>
      <x:c r="C47" s="4" t="s">
        <x:v>114</x:v>
      </x:c>
      <x:c r="D47" s="4" t="s">
        <x:v>71</x:v>
      </x:c>
      <x:c r="E47" s="5" t="s">
        <x:v>136</x:v>
      </x:c>
      <x:c r="F47" s="4"/>
      <x:c r="G47" s="4" t="s">
        <x:v>137</x:v>
      </x:c>
      <x:c r="H47" s="4" t="s">
        <x:v>15</x:v>
      </x:c>
      <x:c r="I47" s="4"/>
    </x:row>
    <x:row r="48" ht="15" hidden="0">
      <x:c r="A48" s="2" t="s">
        <x:v>138</x:v>
      </x:c>
      <x:c r="B48" s="2" t="s">
        <x:v>32</x:v>
      </x:c>
      <x:c r="C48" s="2" t="s">
        <x:v>114</x:v>
      </x:c>
      <x:c r="D48" s="2" t="s">
        <x:v>71</x:v>
      </x:c>
      <x:c r="E48" s="3" t="s">
        <x:v>139</x:v>
      </x:c>
      <x:c r="F48" s="2"/>
      <x:c r="G48" s="2" t="s">
        <x:v>140</x:v>
      </x:c>
      <x:c r="H48" s="2" t="s">
        <x:v>15</x:v>
      </x:c>
      <x:c r="I48" s="2"/>
    </x:row>
    <x:row r="49" ht="15" hidden="0">
      <x:c r="A49" s="4" t="s">
        <x:v>141</x:v>
      </x:c>
      <x:c r="B49" s="4" t="s">
        <x:v>32</x:v>
      </x:c>
      <x:c r="C49" s="4" t="s">
        <x:v>114</x:v>
      </x:c>
      <x:c r="D49" s="4" t="s">
        <x:v>71</x:v>
      </x:c>
      <x:c r="E49" s="4"/>
      <x:c r="F49" s="4"/>
      <x:c r="G49" s="4" t="s">
        <x:v>142</x:v>
      </x:c>
      <x:c r="H49" s="4" t="s">
        <x:v>15</x:v>
      </x:c>
      <x:c r="I49" s="4"/>
    </x:row>
    <x:row r="50" ht="15" hidden="0">
      <x:c r="A50" s="2" t="s">
        <x:v>143</x:v>
      </x:c>
      <x:c r="B50" s="2" t="s">
        <x:v>32</x:v>
      </x:c>
      <x:c r="C50" s="2" t="s">
        <x:v>114</x:v>
      </x:c>
      <x:c r="D50" s="2" t="s">
        <x:v>71</x:v>
      </x:c>
      <x:c r="E50" s="2"/>
      <x:c r="F50" s="2"/>
      <x:c r="G50" s="2" t="s">
        <x:v>142</x:v>
      </x:c>
      <x:c r="H50" s="2" t="s">
        <x:v>15</x:v>
      </x:c>
      <x:c r="I50" s="2"/>
    </x:row>
    <x:row r="51" ht="15" hidden="0">
      <x:c r="A51" s="4" t="s">
        <x:v>144</x:v>
      </x:c>
      <x:c r="B51" s="4" t="s">
        <x:v>54</x:v>
      </x:c>
      <x:c r="C51" s="4" t="s">
        <x:v>114</x:v>
      </x:c>
      <x:c r="D51" s="4" t="s">
        <x:v>71</x:v>
      </x:c>
      <x:c r="E51" s="5" t="s">
        <x:v>145</x:v>
      </x:c>
      <x:c r="F51" s="4"/>
      <x:c r="G51" s="4" t="s">
        <x:v>146</x:v>
      </x:c>
      <x:c r="H51" s="4" t="s">
        <x:v>15</x:v>
      </x:c>
      <x:c r="I51" s="4"/>
    </x:row>
    <x:row r="52" ht="15" hidden="0">
      <x:c r="A52" s="2" t="s">
        <x:v>147</x:v>
      </x:c>
      <x:c r="B52" s="2" t="s">
        <x:v>10</x:v>
      </x:c>
      <x:c r="C52" s="2" t="s">
        <x:v>148</x:v>
      </x:c>
      <x:c r="D52" s="2" t="s">
        <x:v>71</x:v>
      </x:c>
      <x:c r="E52" s="3" t="s">
        <x:v>149</x:v>
      </x:c>
      <x:c r="F52" s="2"/>
      <x:c r="G52" s="2" t="s">
        <x:v>150</x:v>
      </x:c>
      <x:c r="H52" s="2" t="s">
        <x:v>15</x:v>
      </x:c>
      <x:c r="I52" s="2"/>
    </x:row>
    <x:row r="53" ht="15" hidden="0">
      <x:c r="A53" s="4" t="s">
        <x:v>151</x:v>
      </x:c>
      <x:c r="B53" s="4" t="s">
        <x:v>10</x:v>
      </x:c>
      <x:c r="C53" s="4" t="s">
        <x:v>148</x:v>
      </x:c>
      <x:c r="D53" s="4" t="s">
        <x:v>71</x:v>
      </x:c>
      <x:c r="E53" s="5" t="s">
        <x:v>152</x:v>
      </x:c>
      <x:c r="F53" s="4"/>
      <x:c r="G53" s="4" t="s">
        <x:v>153</x:v>
      </x:c>
      <x:c r="H53" s="4" t="s">
        <x:v>15</x:v>
      </x:c>
      <x:c r="I53" s="4"/>
    </x:row>
    <x:row r="54" ht="15" hidden="0">
      <x:c r="A54" s="2" t="s">
        <x:v>154</x:v>
      </x:c>
      <x:c r="B54" s="2" t="s">
        <x:v>10</x:v>
      </x:c>
      <x:c r="C54" s="2" t="s">
        <x:v>148</x:v>
      </x:c>
      <x:c r="D54" s="2" t="s">
        <x:v>71</x:v>
      </x:c>
      <x:c r="E54" s="2"/>
      <x:c r="F54" s="2"/>
      <x:c r="G54" s="2" t="s">
        <x:v>155</x:v>
      </x:c>
      <x:c r="H54" s="2" t="s">
        <x:v>15</x:v>
      </x:c>
      <x:c r="I54" s="2"/>
    </x:row>
    <x:row r="55" ht="15" hidden="0">
      <x:c r="A55" s="4" t="s">
        <x:v>156</x:v>
      </x:c>
      <x:c r="B55" s="4" t="s">
        <x:v>32</x:v>
      </x:c>
      <x:c r="C55" s="4" t="s">
        <x:v>148</x:v>
      </x:c>
      <x:c r="D55" s="4" t="s">
        <x:v>71</x:v>
      </x:c>
      <x:c r="E55" s="5" t="s">
        <x:v>157</x:v>
      </x:c>
      <x:c r="F55" s="4"/>
      <x:c r="G55" s="4" t="s">
        <x:v>158</x:v>
      </x:c>
      <x:c r="H55" s="4" t="s">
        <x:v>15</x:v>
      </x:c>
      <x:c r="I55" s="4"/>
    </x:row>
    <x:row r="56" ht="15" hidden="0">
      <x:c r="A56" s="2" t="s">
        <x:v>159</x:v>
      </x:c>
      <x:c r="B56" s="2" t="s">
        <x:v>32</x:v>
      </x:c>
      <x:c r="C56" s="2" t="s">
        <x:v>148</x:v>
      </x:c>
      <x:c r="D56" s="2" t="s">
        <x:v>71</x:v>
      </x:c>
      <x:c r="E56" s="2"/>
      <x:c r="F56" s="2"/>
      <x:c r="G56" s="2" t="s">
        <x:v>160</x:v>
      </x:c>
      <x:c r="H56" s="2" t="s">
        <x:v>15</x:v>
      </x:c>
      <x:c r="I56" s="2"/>
    </x:row>
    <x:row r="57" ht="15" hidden="0">
      <x:c r="A57" s="4" t="s">
        <x:v>161</x:v>
      </x:c>
      <x:c r="B57" s="4" t="s">
        <x:v>32</x:v>
      </x:c>
      <x:c r="C57" s="4" t="s">
        <x:v>148</x:v>
      </x:c>
      <x:c r="D57" s="4" t="s">
        <x:v>71</x:v>
      </x:c>
      <x:c r="E57" s="4"/>
      <x:c r="F57" s="4"/>
      <x:c r="G57" s="4" t="s">
        <x:v>162</x:v>
      </x:c>
      <x:c r="H57" s="4" t="s">
        <x:v>15</x:v>
      </x:c>
      <x:c r="I57" s="4"/>
    </x:row>
    <x:row r="58" ht="15" hidden="0">
      <x:c r="A58" s="2" t="s">
        <x:v>163</x:v>
      </x:c>
      <x:c r="B58" s="2" t="s">
        <x:v>32</x:v>
      </x:c>
      <x:c r="C58" s="2" t="s">
        <x:v>148</x:v>
      </x:c>
      <x:c r="D58" s="2" t="s">
        <x:v>71</x:v>
      </x:c>
      <x:c r="E58" s="2"/>
      <x:c r="F58" s="2"/>
      <x:c r="G58" s="2" t="s">
        <x:v>164</x:v>
      </x:c>
      <x:c r="H58" s="2" t="s">
        <x:v>15</x:v>
      </x:c>
      <x:c r="I58" s="2"/>
    </x:row>
    <x:row r="59" ht="15" hidden="0">
      <x:c r="A59" s="4" t="s">
        <x:v>165</x:v>
      </x:c>
      <x:c r="B59" s="4" t="s">
        <x:v>32</x:v>
      </x:c>
      <x:c r="C59" s="4" t="s">
        <x:v>148</x:v>
      </x:c>
      <x:c r="D59" s="4" t="s">
        <x:v>71</x:v>
      </x:c>
      <x:c r="E59" s="5" t="s">
        <x:v>166</x:v>
      </x:c>
      <x:c r="F59" s="4"/>
      <x:c r="G59" s="4" t="s">
        <x:v>167</x:v>
      </x:c>
      <x:c r="H59" s="4" t="s">
        <x:v>15</x:v>
      </x:c>
      <x:c r="I59" s="4"/>
    </x:row>
    <x:row r="60" ht="15" hidden="0">
      <x:c r="A60" s="2" t="s">
        <x:v>168</x:v>
      </x:c>
      <x:c r="B60" s="2" t="s">
        <x:v>32</x:v>
      </x:c>
      <x:c r="C60" s="2" t="s">
        <x:v>148</x:v>
      </x:c>
      <x:c r="D60" s="2" t="s">
        <x:v>71</x:v>
      </x:c>
      <x:c r="E60" s="2"/>
      <x:c r="F60" s="2"/>
      <x:c r="G60" s="2" t="s">
        <x:v>169</x:v>
      </x:c>
      <x:c r="H60" s="2" t="s">
        <x:v>15</x:v>
      </x:c>
      <x:c r="I60" s="2"/>
    </x:row>
    <x:row r="61" ht="15" hidden="0">
      <x:c r="A61" s="4" t="s">
        <x:v>170</x:v>
      </x:c>
      <x:c r="B61" s="4" t="s">
        <x:v>32</x:v>
      </x:c>
      <x:c r="C61" s="4" t="s">
        <x:v>148</x:v>
      </x:c>
      <x:c r="D61" s="4" t="s">
        <x:v>71</x:v>
      </x:c>
      <x:c r="E61" s="4"/>
      <x:c r="F61" s="4"/>
      <x:c r="G61" s="4" t="s">
        <x:v>171</x:v>
      </x:c>
      <x:c r="H61" s="4" t="s">
        <x:v>15</x:v>
      </x:c>
      <x:c r="I61" s="4"/>
    </x:row>
    <x:row r="62" ht="15" hidden="0">
      <x:c r="A62" s="2" t="s">
        <x:v>172</x:v>
      </x:c>
      <x:c r="B62" s="2" t="s">
        <x:v>32</x:v>
      </x:c>
      <x:c r="C62" s="2" t="s">
        <x:v>148</x:v>
      </x:c>
      <x:c r="D62" s="2" t="s">
        <x:v>71</x:v>
      </x:c>
      <x:c r="E62" s="2"/>
      <x:c r="F62" s="2"/>
      <x:c r="G62" s="2" t="s">
        <x:v>173</x:v>
      </x:c>
      <x:c r="H62" s="2" t="s">
        <x:v>15</x:v>
      </x:c>
      <x:c r="I62" s="2"/>
    </x:row>
    <x:row r="63" ht="15" hidden="0">
      <x:c r="A63" s="4" t="s">
        <x:v>174</x:v>
      </x:c>
      <x:c r="B63" s="4" t="s">
        <x:v>54</x:v>
      </x:c>
      <x:c r="C63" s="4" t="s">
        <x:v>148</x:v>
      </x:c>
      <x:c r="D63" s="4" t="s">
        <x:v>71</x:v>
      </x:c>
      <x:c r="E63" s="5" t="s">
        <x:v>175</x:v>
      </x:c>
      <x:c r="F63" s="4"/>
      <x:c r="G63" s="4" t="s">
        <x:v>176</x:v>
      </x:c>
      <x:c r="H63" s="4" t="s">
        <x:v>15</x:v>
      </x:c>
      <x:c r="I63" s="4"/>
    </x:row>
    <x:row r="64" ht="15" hidden="0">
      <x:c r="A64" s="2" t="s">
        <x:v>177</x:v>
      </x:c>
      <x:c r="B64" s="2" t="s">
        <x:v>54</x:v>
      </x:c>
      <x:c r="C64" s="2" t="s">
        <x:v>148</x:v>
      </x:c>
      <x:c r="D64" s="2" t="s">
        <x:v>71</x:v>
      </x:c>
      <x:c r="E64" s="3" t="s">
        <x:v>178</x:v>
      </x:c>
      <x:c r="F64" s="2"/>
      <x:c r="G64" s="2" t="s">
        <x:v>179</x:v>
      </x:c>
      <x:c r="H64" s="2" t="s">
        <x:v>15</x:v>
      </x:c>
      <x:c r="I64" s="2"/>
    </x:row>
    <x:row r="65" ht="15" hidden="0">
      <x:c r="A65" s="4" t="s">
        <x:v>180</x:v>
      </x:c>
      <x:c r="B65" s="4" t="s">
        <x:v>54</x:v>
      </x:c>
      <x:c r="C65" s="4" t="s">
        <x:v>148</x:v>
      </x:c>
      <x:c r="D65" s="4" t="s">
        <x:v>71</x:v>
      </x:c>
      <x:c r="E65" s="5" t="s">
        <x:v>181</x:v>
      </x:c>
      <x:c r="F65" s="4"/>
      <x:c r="G65" s="4" t="s">
        <x:v>182</x:v>
      </x:c>
      <x:c r="H65" s="4" t="s">
        <x:v>15</x:v>
      </x:c>
      <x:c r="I65" s="4"/>
    </x:row>
    <x:row r="66" ht="15" hidden="0">
      <x:c r="A66" s="2" t="s">
        <x:v>183</x:v>
      </x:c>
      <x:c r="B66" s="2" t="s">
        <x:v>54</x:v>
      </x:c>
      <x:c r="C66" s="2" t="s">
        <x:v>148</x:v>
      </x:c>
      <x:c r="D66" s="2" t="s">
        <x:v>71</x:v>
      </x:c>
      <x:c r="E66" s="3" t="s">
        <x:v>184</x:v>
      </x:c>
      <x:c r="F66" s="2"/>
      <x:c r="G66" s="2" t="s">
        <x:v>185</x:v>
      </x:c>
      <x:c r="H66" s="2" t="s">
        <x:v>15</x:v>
      </x:c>
      <x:c r="I66" s="2"/>
    </x:row>
    <x:row r="67" ht="15" hidden="0">
      <x:c r="A67" s="4" t="s">
        <x:v>186</x:v>
      </x:c>
      <x:c r="B67" s="4" t="s">
        <x:v>10</x:v>
      </x:c>
      <x:c r="C67" s="4" t="s">
        <x:v>187</x:v>
      </x:c>
      <x:c r="D67" s="4" t="s">
        <x:v>71</x:v>
      </x:c>
      <x:c r="E67" s="4"/>
      <x:c r="F67" s="4"/>
      <x:c r="G67" s="4" t="s">
        <x:v>188</x:v>
      </x:c>
      <x:c r="H67" s="4" t="s">
        <x:v>15</x:v>
      </x:c>
      <x:c r="I67" s="4"/>
    </x:row>
    <x:row r="68" ht="15" hidden="0">
      <x:c r="A68" s="2" t="s">
        <x:v>189</x:v>
      </x:c>
      <x:c r="B68" s="2" t="s">
        <x:v>10</x:v>
      </x:c>
      <x:c r="C68" s="2" t="s">
        <x:v>187</x:v>
      </x:c>
      <x:c r="D68" s="2" t="s">
        <x:v>71</x:v>
      </x:c>
      <x:c r="E68" s="2"/>
      <x:c r="F68" s="2"/>
      <x:c r="G68" s="2" t="s">
        <x:v>190</x:v>
      </x:c>
      <x:c r="H68" s="2" t="s">
        <x:v>15</x:v>
      </x:c>
      <x:c r="I68" s="2"/>
    </x:row>
    <x:row r="69" ht="15" hidden="0">
      <x:c r="A69" s="4" t="s">
        <x:v>191</x:v>
      </x:c>
      <x:c r="B69" s="4" t="s">
        <x:v>10</x:v>
      </x:c>
      <x:c r="C69" s="4" t="s">
        <x:v>187</x:v>
      </x:c>
      <x:c r="D69" s="4" t="s">
        <x:v>71</x:v>
      </x:c>
      <x:c r="E69" s="5" t="s">
        <x:v>192</x:v>
      </x:c>
      <x:c r="F69" s="4"/>
      <x:c r="G69" s="4" t="s">
        <x:v>193</x:v>
      </x:c>
      <x:c r="H69" s="4" t="s">
        <x:v>15</x:v>
      </x:c>
      <x:c r="I69" s="4"/>
    </x:row>
    <x:row r="70" ht="15" hidden="0">
      <x:c r="A70" s="2" t="s">
        <x:v>194</x:v>
      </x:c>
      <x:c r="B70" s="2" t="s">
        <x:v>10</x:v>
      </x:c>
      <x:c r="C70" s="2" t="s">
        <x:v>187</x:v>
      </x:c>
      <x:c r="D70" s="2" t="s">
        <x:v>71</x:v>
      </x:c>
      <x:c r="E70" s="2"/>
      <x:c r="F70" s="2"/>
      <x:c r="G70" s="2" t="s">
        <x:v>195</x:v>
      </x:c>
      <x:c r="H70" s="2" t="s">
        <x:v>15</x:v>
      </x:c>
      <x:c r="I70" s="2"/>
    </x:row>
    <x:row r="71" ht="15" hidden="0">
      <x:c r="A71" s="4" t="s">
        <x:v>196</x:v>
      </x:c>
      <x:c r="B71" s="4" t="s">
        <x:v>32</x:v>
      </x:c>
      <x:c r="C71" s="4" t="s">
        <x:v>187</x:v>
      </x:c>
      <x:c r="D71" s="4" t="s">
        <x:v>71</x:v>
      </x:c>
      <x:c r="E71" s="4"/>
      <x:c r="F71" s="4"/>
      <x:c r="G71" s="4" t="s">
        <x:v>197</x:v>
      </x:c>
      <x:c r="H71" s="4" t="s">
        <x:v>15</x:v>
      </x:c>
      <x:c r="I71" s="4"/>
    </x:row>
    <x:row r="72" ht="15" hidden="0">
      <x:c r="A72" s="2" t="s">
        <x:v>198</x:v>
      </x:c>
      <x:c r="B72" s="2" t="s">
        <x:v>32</x:v>
      </x:c>
      <x:c r="C72" s="2" t="s">
        <x:v>187</x:v>
      </x:c>
      <x:c r="D72" s="2" t="s">
        <x:v>71</x:v>
      </x:c>
      <x:c r="E72" s="3" t="s">
        <x:v>199</x:v>
      </x:c>
      <x:c r="F72" s="2"/>
      <x:c r="G72" s="2" t="s">
        <x:v>200</x:v>
      </x:c>
      <x:c r="H72" s="2" t="s">
        <x:v>15</x:v>
      </x:c>
      <x:c r="I72" s="2"/>
    </x:row>
    <x:row r="73" ht="15" hidden="0">
      <x:c r="A73" s="4" t="s">
        <x:v>201</x:v>
      </x:c>
      <x:c r="B73" s="4" t="s">
        <x:v>32</x:v>
      </x:c>
      <x:c r="C73" s="4" t="s">
        <x:v>187</x:v>
      </x:c>
      <x:c r="D73" s="4" t="s">
        <x:v>71</x:v>
      </x:c>
      <x:c r="E73" s="4"/>
      <x:c r="F73" s="4"/>
      <x:c r="G73" s="4" t="s">
        <x:v>202</x:v>
      </x:c>
      <x:c r="H73" s="4" t="s">
        <x:v>15</x:v>
      </x:c>
      <x:c r="I73" s="4"/>
    </x:row>
    <x:row r="74" ht="15" hidden="0">
      <x:c r="A74" s="2" t="s">
        <x:v>203</x:v>
      </x:c>
      <x:c r="B74" s="2" t="s">
        <x:v>32</x:v>
      </x:c>
      <x:c r="C74" s="2" t="s">
        <x:v>187</x:v>
      </x:c>
      <x:c r="D74" s="2" t="s">
        <x:v>71</x:v>
      </x:c>
      <x:c r="E74" s="2"/>
      <x:c r="F74" s="2"/>
      <x:c r="G74" s="2" t="s">
        <x:v>204</x:v>
      </x:c>
      <x:c r="H74" s="2" t="s">
        <x:v>15</x:v>
      </x:c>
      <x:c r="I74" s="2"/>
    </x:row>
    <x:row r="75" ht="15" hidden="0">
      <x:c r="A75" s="4" t="s">
        <x:v>205</x:v>
      </x:c>
      <x:c r="B75" s="4" t="s">
        <x:v>54</x:v>
      </x:c>
      <x:c r="C75" s="4" t="s">
        <x:v>187</x:v>
      </x:c>
      <x:c r="D75" s="4" t="s">
        <x:v>71</x:v>
      </x:c>
      <x:c r="E75" s="5" t="s">
        <x:v>206</x:v>
      </x:c>
      <x:c r="F75" s="4"/>
      <x:c r="G75" s="4" t="s">
        <x:v>207</x:v>
      </x:c>
      <x:c r="H75" s="4" t="s">
        <x:v>15</x:v>
      </x:c>
      <x:c r="I75" s="4"/>
    </x:row>
    <x:row r="76" ht="15" hidden="0">
      <x:c r="A76" s="2" t="s">
        <x:v>208</x:v>
      </x:c>
      <x:c r="B76" s="2" t="s">
        <x:v>54</x:v>
      </x:c>
      <x:c r="C76" s="2" t="s">
        <x:v>187</x:v>
      </x:c>
      <x:c r="D76" s="2" t="s">
        <x:v>71</x:v>
      </x:c>
      <x:c r="E76" s="3" t="s">
        <x:v>209</x:v>
      </x:c>
      <x:c r="F76" s="2"/>
      <x:c r="G76" s="2" t="s">
        <x:v>210</x:v>
      </x:c>
      <x:c r="H76" s="2" t="s">
        <x:v>15</x:v>
      </x:c>
      <x:c r="I76" s="2"/>
    </x:row>
    <x:row r="77" ht="15" hidden="0">
      <x:c r="A77" s="4" t="s">
        <x:v>211</x:v>
      </x:c>
      <x:c r="B77" s="4" t="s">
        <x:v>54</x:v>
      </x:c>
      <x:c r="C77" s="4" t="s">
        <x:v>187</x:v>
      </x:c>
      <x:c r="D77" s="4" t="s">
        <x:v>71</x:v>
      </x:c>
      <x:c r="E77" s="5" t="s">
        <x:v>212</x:v>
      </x:c>
      <x:c r="F77" s="4"/>
      <x:c r="G77" s="4" t="s">
        <x:v>213</x:v>
      </x:c>
      <x:c r="H77" s="4" t="s">
        <x:v>15</x:v>
      </x:c>
      <x:c r="I77" s="4"/>
    </x:row>
    <x:row r="78" ht="15" hidden="0">
      <x:c r="A78" s="2" t="s">
        <x:v>214</x:v>
      </x:c>
      <x:c r="B78" s="2" t="s">
        <x:v>54</x:v>
      </x:c>
      <x:c r="C78" s="2" t="s">
        <x:v>187</x:v>
      </x:c>
      <x:c r="D78" s="2" t="s">
        <x:v>71</x:v>
      </x:c>
      <x:c r="E78" s="3" t="s">
        <x:v>58</x:v>
      </x:c>
      <x:c r="F78" s="2"/>
      <x:c r="G78" s="2" t="s">
        <x:v>215</x:v>
      </x:c>
      <x:c r="H78" s="2" t="s">
        <x:v>15</x:v>
      </x:c>
      <x:c r="I78" s="2"/>
    </x:row>
    <x:row r="79" ht="15" hidden="0">
      <x:c r="A79" s="4" t="s">
        <x:v>216</x:v>
      </x:c>
      <x:c r="B79" s="4" t="s">
        <x:v>54</x:v>
      </x:c>
      <x:c r="C79" s="4" t="s">
        <x:v>187</x:v>
      </x:c>
      <x:c r="D79" s="4" t="s">
        <x:v>71</x:v>
      </x:c>
      <x:c r="E79" s="5" t="s">
        <x:v>217</x:v>
      </x:c>
      <x:c r="F79" s="4"/>
      <x:c r="G79" s="4" t="s">
        <x:v>218</x:v>
      </x:c>
      <x:c r="H79" s="4" t="s">
        <x:v>15</x:v>
      </x:c>
      <x:c r="I79" s="4"/>
    </x:row>
    <x:row r="80" ht="15" hidden="0">
      <x:c r="A80" s="2" t="s">
        <x:v>219</x:v>
      </x:c>
      <x:c r="B80" s="2" t="s">
        <x:v>54</x:v>
      </x:c>
      <x:c r="C80" s="2" t="s">
        <x:v>187</x:v>
      </x:c>
      <x:c r="D80" s="2" t="s">
        <x:v>71</x:v>
      </x:c>
      <x:c r="E80" s="3" t="s">
        <x:v>220</x:v>
      </x:c>
      <x:c r="F80" s="2"/>
      <x:c r="G80" s="2" t="s">
        <x:v>221</x:v>
      </x:c>
      <x:c r="H80" s="2" t="s">
        <x:v>15</x:v>
      </x:c>
      <x:c r="I80" s="2"/>
    </x:row>
    <x:row r="81" ht="15" hidden="0">
      <x:c r="A81" s="4" t="s">
        <x:v>222</x:v>
      </x:c>
      <x:c r="B81" s="4" t="s">
        <x:v>54</x:v>
      </x:c>
      <x:c r="C81" s="4" t="s">
        <x:v>187</x:v>
      </x:c>
      <x:c r="D81" s="4" t="s">
        <x:v>71</x:v>
      </x:c>
      <x:c r="E81" s="5" t="s">
        <x:v>223</x:v>
      </x:c>
      <x:c r="F81" s="4"/>
      <x:c r="G81" s="4" t="s">
        <x:v>224</x:v>
      </x:c>
      <x:c r="H81" s="4" t="s">
        <x:v>15</x:v>
      </x:c>
      <x:c r="I81" s="4"/>
    </x:row>
    <x:row r="82" ht="15" hidden="0">
      <x:c r="A82" s="2" t="s">
        <x:v>225</x:v>
      </x:c>
      <x:c r="B82" s="2" t="s">
        <x:v>10</x:v>
      </x:c>
      <x:c r="C82" s="2" t="s">
        <x:v>226</x:v>
      </x:c>
      <x:c r="D82" s="2" t="s">
        <x:v>227</x:v>
      </x:c>
      <x:c r="E82" s="3" t="s">
        <x:v>228</x:v>
      </x:c>
      <x:c r="F82" s="2"/>
      <x:c r="G82" s="2" t="s">
        <x:v>229</x:v>
      </x:c>
      <x:c r="H82" s="2" t="s">
        <x:v>15</x:v>
      </x:c>
      <x:c r="I82" s="2"/>
    </x:row>
    <x:row r="83" ht="15" hidden="0">
      <x:c r="A83" s="4" t="s">
        <x:v>230</x:v>
      </x:c>
      <x:c r="B83" s="4" t="s">
        <x:v>10</x:v>
      </x:c>
      <x:c r="C83" s="4" t="s">
        <x:v>226</x:v>
      </x:c>
      <x:c r="D83" s="4" t="s">
        <x:v>227</x:v>
      </x:c>
      <x:c r="E83" s="5" t="s">
        <x:v>231</x:v>
      </x:c>
      <x:c r="F83" s="4"/>
      <x:c r="G83" s="4" t="s">
        <x:v>232</x:v>
      </x:c>
      <x:c r="H83" s="4" t="s">
        <x:v>15</x:v>
      </x:c>
      <x:c r="I83" s="4"/>
    </x:row>
    <x:row r="84" ht="15" hidden="0">
      <x:c r="A84" s="2" t="s">
        <x:v>233</x:v>
      </x:c>
      <x:c r="B84" s="2" t="s">
        <x:v>10</x:v>
      </x:c>
      <x:c r="C84" s="2" t="s">
        <x:v>226</x:v>
      </x:c>
      <x:c r="D84" s="2" t="s">
        <x:v>227</x:v>
      </x:c>
      <x:c r="E84" s="2"/>
      <x:c r="F84" s="2"/>
      <x:c r="G84" s="2" t="s">
        <x:v>234</x:v>
      </x:c>
      <x:c r="H84" s="2" t="s">
        <x:v>15</x:v>
      </x:c>
      <x:c r="I84" s="2"/>
    </x:row>
    <x:row r="85" ht="15" hidden="0">
      <x:c r="A85" s="4" t="s">
        <x:v>235</x:v>
      </x:c>
      <x:c r="B85" s="4" t="s">
        <x:v>10</x:v>
      </x:c>
      <x:c r="C85" s="4" t="s">
        <x:v>226</x:v>
      </x:c>
      <x:c r="D85" s="4" t="s">
        <x:v>227</x:v>
      </x:c>
      <x:c r="E85" s="5" t="s">
        <x:v>236</x:v>
      </x:c>
      <x:c r="F85" s="4"/>
      <x:c r="G85" s="4" t="s">
        <x:v>237</x:v>
      </x:c>
      <x:c r="H85" s="4" t="s">
        <x:v>15</x:v>
      </x:c>
      <x:c r="I85" s="4"/>
    </x:row>
    <x:row r="86" ht="15" hidden="0">
      <x:c r="A86" s="2" t="s">
        <x:v>238</x:v>
      </x:c>
      <x:c r="B86" s="2" t="s">
        <x:v>32</x:v>
      </x:c>
      <x:c r="C86" s="2" t="s">
        <x:v>226</x:v>
      </x:c>
      <x:c r="D86" s="2" t="s">
        <x:v>227</x:v>
      </x:c>
      <x:c r="E86" s="3" t="s">
        <x:v>239</x:v>
      </x:c>
      <x:c r="F86" s="2"/>
      <x:c r="G86" s="2" t="s">
        <x:v>240</x:v>
      </x:c>
      <x:c r="H86" s="2" t="s">
        <x:v>15</x:v>
      </x:c>
      <x:c r="I86" s="2"/>
    </x:row>
    <x:row r="87" ht="15" hidden="0">
      <x:c r="A87" s="4" t="s">
        <x:v>241</x:v>
      </x:c>
      <x:c r="B87" s="4" t="s">
        <x:v>32</x:v>
      </x:c>
      <x:c r="C87" s="4" t="s">
        <x:v>226</x:v>
      </x:c>
      <x:c r="D87" s="4" t="s">
        <x:v>227</x:v>
      </x:c>
      <x:c r="E87" s="5" t="s">
        <x:v>242</x:v>
      </x:c>
      <x:c r="F87" s="4"/>
      <x:c r="G87" s="4" t="s">
        <x:v>243</x:v>
      </x:c>
      <x:c r="H87" s="4" t="s">
        <x:v>15</x:v>
      </x:c>
      <x:c r="I87" s="4"/>
    </x:row>
    <x:row r="88" ht="15" hidden="0">
      <x:c r="A88" s="2" t="s">
        <x:v>244</x:v>
      </x:c>
      <x:c r="B88" s="2" t="s">
        <x:v>32</x:v>
      </x:c>
      <x:c r="C88" s="2" t="s">
        <x:v>226</x:v>
      </x:c>
      <x:c r="D88" s="2" t="s">
        <x:v>227</x:v>
      </x:c>
      <x:c r="E88" s="3" t="s">
        <x:v>245</x:v>
      </x:c>
      <x:c r="F88" s="2"/>
      <x:c r="G88" s="2" t="s">
        <x:v>246</x:v>
      </x:c>
      <x:c r="H88" s="2" t="s">
        <x:v>15</x:v>
      </x:c>
      <x:c r="I88" s="2"/>
    </x:row>
    <x:row r="89" ht="15" hidden="0">
      <x:c r="A89" s="4" t="s">
        <x:v>247</x:v>
      </x:c>
      <x:c r="B89" s="4" t="s">
        <x:v>32</x:v>
      </x:c>
      <x:c r="C89" s="4" t="s">
        <x:v>226</x:v>
      </x:c>
      <x:c r="D89" s="4" t="s">
        <x:v>227</x:v>
      </x:c>
      <x:c r="E89" s="4"/>
      <x:c r="F89" s="4"/>
      <x:c r="G89" s="4" t="s">
        <x:v>248</x:v>
      </x:c>
      <x:c r="H89" s="4" t="s">
        <x:v>15</x:v>
      </x:c>
      <x:c r="I89" s="4"/>
    </x:row>
    <x:row r="90" ht="15" hidden="0">
      <x:c r="A90" s="2" t="s">
        <x:v>249</x:v>
      </x:c>
      <x:c r="B90" s="2" t="s">
        <x:v>54</x:v>
      </x:c>
      <x:c r="C90" s="2" t="s">
        <x:v>226</x:v>
      </x:c>
      <x:c r="D90" s="2" t="s">
        <x:v>227</x:v>
      </x:c>
      <x:c r="E90" s="3" t="s">
        <x:v>250</x:v>
      </x:c>
      <x:c r="F90" s="2" t="s">
        <x:v>251</x:v>
      </x:c>
      <x:c r="G90" s="2" t="s">
        <x:v>252</x:v>
      </x:c>
      <x:c r="H90" s="2" t="s">
        <x:v>15</x:v>
      </x:c>
      <x:c r="I90" s="2"/>
    </x:row>
    <x:row r="91" ht="15" hidden="0">
      <x:c r="A91" s="4" t="s">
        <x:v>253</x:v>
      </x:c>
      <x:c r="B91" s="4" t="s">
        <x:v>54</x:v>
      </x:c>
      <x:c r="C91" s="4" t="s">
        <x:v>226</x:v>
      </x:c>
      <x:c r="D91" s="4" t="s">
        <x:v>227</x:v>
      </x:c>
      <x:c r="E91" s="5" t="s">
        <x:v>254</x:v>
      </x:c>
      <x:c r="F91" s="4" t="s">
        <x:v>255</x:v>
      </x:c>
      <x:c r="G91" s="4" t="s">
        <x:v>256</x:v>
      </x:c>
      <x:c r="H91" s="4" t="s">
        <x:v>15</x:v>
      </x:c>
      <x:c r="I91" s="4"/>
    </x:row>
    <x:row r="92" ht="15" hidden="0">
      <x:c r="A92" s="2" t="s">
        <x:v>257</x:v>
      </x:c>
      <x:c r="B92" s="2" t="s">
        <x:v>54</x:v>
      </x:c>
      <x:c r="C92" s="2" t="s">
        <x:v>226</x:v>
      </x:c>
      <x:c r="D92" s="2" t="s">
        <x:v>227</x:v>
      </x:c>
      <x:c r="E92" s="3" t="s">
        <x:v>258</x:v>
      </x:c>
      <x:c r="F92" s="2" t="s">
        <x:v>259</x:v>
      </x:c>
      <x:c r="G92" s="2" t="s">
        <x:v>260</x:v>
      </x:c>
      <x:c r="H92" s="2" t="s">
        <x:v>15</x:v>
      </x:c>
      <x:c r="I92" s="2"/>
    </x:row>
    <x:row r="93" ht="15" hidden="0">
      <x:c r="A93" s="4" t="s">
        <x:v>261</x:v>
      </x:c>
      <x:c r="B93" s="4" t="s">
        <x:v>54</x:v>
      </x:c>
      <x:c r="C93" s="4" t="s">
        <x:v>226</x:v>
      </x:c>
      <x:c r="D93" s="4" t="s">
        <x:v>227</x:v>
      </x:c>
      <x:c r="E93" s="5" t="s">
        <x:v>262</x:v>
      </x:c>
      <x:c r="F93" s="4"/>
      <x:c r="G93" s="4" t="s">
        <x:v>263</x:v>
      </x:c>
      <x:c r="H93" s="4" t="s">
        <x:v>15</x:v>
      </x:c>
      <x:c r="I93" s="4"/>
    </x:row>
    <x:row r="94" ht="15" hidden="0">
      <x:c r="A94" s="2" t="s">
        <x:v>264</x:v>
      </x:c>
      <x:c r="B94" s="2" t="s">
        <x:v>54</x:v>
      </x:c>
      <x:c r="C94" s="2" t="s">
        <x:v>226</x:v>
      </x:c>
      <x:c r="D94" s="2" t="s">
        <x:v>227</x:v>
      </x:c>
      <x:c r="E94" s="3" t="s">
        <x:v>111</x:v>
      </x:c>
      <x:c r="F94" s="2"/>
      <x:c r="G94" s="2" t="s">
        <x:v>265</x:v>
      </x:c>
      <x:c r="H94" s="2" t="s">
        <x:v>15</x:v>
      </x:c>
      <x:c r="I94" s="2"/>
    </x:row>
    <x:row r="95" ht="15" hidden="0">
      <x:c r="A95" s="4" t="s">
        <x:v>266</x:v>
      </x:c>
      <x:c r="B95" s="4" t="s">
        <x:v>54</x:v>
      </x:c>
      <x:c r="C95" s="4" t="s">
        <x:v>226</x:v>
      </x:c>
      <x:c r="D95" s="4" t="s">
        <x:v>227</x:v>
      </x:c>
      <x:c r="E95" s="4"/>
      <x:c r="F95" s="4"/>
      <x:c r="G95" s="4" t="s">
        <x:v>267</x:v>
      </x:c>
      <x:c r="H95" s="4" t="s">
        <x:v>15</x:v>
      </x:c>
      <x:c r="I95" s="4"/>
    </x:row>
    <x:row r="96" ht="15" hidden="0">
      <x:c r="A96" s="2" t="s">
        <x:v>268</x:v>
      </x:c>
      <x:c r="B96" s="2" t="s">
        <x:v>10</x:v>
      </x:c>
      <x:c r="C96" s="2" t="s">
        <x:v>269</x:v>
      </x:c>
      <x:c r="D96" s="2" t="s">
        <x:v>270</x:v>
      </x:c>
      <x:c r="E96" s="3" t="s">
        <x:v>271</x:v>
      </x:c>
      <x:c r="F96" s="2"/>
      <x:c r="G96" s="2" t="s">
        <x:v>272</x:v>
      </x:c>
      <x:c r="H96" s="2" t="s">
        <x:v>15</x:v>
      </x:c>
      <x:c r="I96" s="2"/>
    </x:row>
    <x:row r="97" ht="15" hidden="0">
      <x:c r="A97" s="4" t="s">
        <x:v>273</x:v>
      </x:c>
      <x:c r="B97" s="4" t="s">
        <x:v>10</x:v>
      </x:c>
      <x:c r="C97" s="4" t="s">
        <x:v>269</x:v>
      </x:c>
      <x:c r="D97" s="4" t="s">
        <x:v>270</x:v>
      </x:c>
      <x:c r="E97" s="4"/>
      <x:c r="F97" s="4"/>
      <x:c r="G97" s="4" t="s">
        <x:v>274</x:v>
      </x:c>
      <x:c r="H97" s="4" t="s">
        <x:v>15</x:v>
      </x:c>
      <x:c r="I97" s="4"/>
    </x:row>
    <x:row r="98" ht="15" hidden="0">
      <x:c r="A98" s="2" t="s">
        <x:v>275</x:v>
      </x:c>
      <x:c r="B98" s="2" t="s">
        <x:v>10</x:v>
      </x:c>
      <x:c r="C98" s="2" t="s">
        <x:v>269</x:v>
      </x:c>
      <x:c r="D98" s="2" t="s">
        <x:v>270</x:v>
      </x:c>
      <x:c r="E98" s="3" t="s">
        <x:v>276</x:v>
      </x:c>
      <x:c r="F98" s="2"/>
      <x:c r="G98" s="2" t="s">
        <x:v>277</x:v>
      </x:c>
      <x:c r="H98" s="2" t="s">
        <x:v>15</x:v>
      </x:c>
      <x:c r="I98" s="2"/>
    </x:row>
    <x:row r="99" ht="15" hidden="0">
      <x:c r="A99" s="4" t="s">
        <x:v>278</x:v>
      </x:c>
      <x:c r="B99" s="4" t="s">
        <x:v>10</x:v>
      </x:c>
      <x:c r="C99" s="4" t="s">
        <x:v>269</x:v>
      </x:c>
      <x:c r="D99" s="4" t="s">
        <x:v>270</x:v>
      </x:c>
      <x:c r="E99" s="4"/>
      <x:c r="F99" s="4"/>
      <x:c r="G99" s="4" t="s">
        <x:v>279</x:v>
      </x:c>
      <x:c r="H99" s="4" t="s">
        <x:v>15</x:v>
      </x:c>
      <x:c r="I99" s="4"/>
    </x:row>
    <x:row r="100" ht="15" hidden="0">
      <x:c r="A100" s="2" t="s">
        <x:v>280</x:v>
      </x:c>
      <x:c r="B100" s="2" t="s">
        <x:v>10</x:v>
      </x:c>
      <x:c r="C100" s="2" t="s">
        <x:v>269</x:v>
      </x:c>
      <x:c r="D100" s="2" t="s">
        <x:v>270</x:v>
      </x:c>
      <x:c r="E100" s="2"/>
      <x:c r="F100" s="2"/>
      <x:c r="G100" s="2" t="s">
        <x:v>281</x:v>
      </x:c>
      <x:c r="H100" s="2" t="s">
        <x:v>15</x:v>
      </x:c>
      <x:c r="I100" s="2"/>
    </x:row>
    <x:row r="101" ht="15" hidden="0">
      <x:c r="A101" s="4" t="s">
        <x:v>282</x:v>
      </x:c>
      <x:c r="B101" s="4" t="s">
        <x:v>10</x:v>
      </x:c>
      <x:c r="C101" s="4" t="s">
        <x:v>269</x:v>
      </x:c>
      <x:c r="D101" s="4" t="s">
        <x:v>270</x:v>
      </x:c>
      <x:c r="E101" s="5" t="s">
        <x:v>283</x:v>
      </x:c>
      <x:c r="F101" s="4"/>
      <x:c r="G101" s="4" t="s">
        <x:v>284</x:v>
      </x:c>
      <x:c r="H101" s="4" t="s">
        <x:v>15</x:v>
      </x:c>
      <x:c r="I101" s="4"/>
    </x:row>
    <x:row r="102" ht="15" hidden="0">
      <x:c r="A102" s="2" t="s">
        <x:v>285</x:v>
      </x:c>
      <x:c r="B102" s="2" t="s">
        <x:v>10</x:v>
      </x:c>
      <x:c r="C102" s="2" t="s">
        <x:v>269</x:v>
      </x:c>
      <x:c r="D102" s="2" t="s">
        <x:v>270</x:v>
      </x:c>
      <x:c r="E102" s="2"/>
      <x:c r="F102" s="2"/>
      <x:c r="G102" s="2" t="s">
        <x:v>286</x:v>
      </x:c>
      <x:c r="H102" s="2" t="s">
        <x:v>15</x:v>
      </x:c>
      <x:c r="I102" s="2"/>
    </x:row>
    <x:row r="103" ht="15" hidden="0">
      <x:c r="A103" s="4" t="s">
        <x:v>287</x:v>
      </x:c>
      <x:c r="B103" s="4" t="s">
        <x:v>32</x:v>
      </x:c>
      <x:c r="C103" s="4" t="s">
        <x:v>269</x:v>
      </x:c>
      <x:c r="D103" s="4" t="s">
        <x:v>270</x:v>
      </x:c>
      <x:c r="E103" s="5" t="s">
        <x:v>288</x:v>
      </x:c>
      <x:c r="F103" s="4"/>
      <x:c r="G103" s="4" t="s">
        <x:v>289</x:v>
      </x:c>
      <x:c r="H103" s="4" t="s">
        <x:v>15</x:v>
      </x:c>
      <x:c r="I103" s="4"/>
    </x:row>
    <x:row r="104" ht="15" hidden="0">
      <x:c r="A104" s="2" t="s">
        <x:v>290</x:v>
      </x:c>
      <x:c r="B104" s="2" t="s">
        <x:v>32</x:v>
      </x:c>
      <x:c r="C104" s="2" t="s">
        <x:v>269</x:v>
      </x:c>
      <x:c r="D104" s="2" t="s">
        <x:v>270</x:v>
      </x:c>
      <x:c r="E104" s="3" t="s">
        <x:v>291</x:v>
      </x:c>
      <x:c r="F104" s="2"/>
      <x:c r="G104" s="2" t="s">
        <x:v>292</x:v>
      </x:c>
      <x:c r="H104" s="2" t="s">
        <x:v>15</x:v>
      </x:c>
      <x:c r="I104" s="2"/>
    </x:row>
    <x:row r="105" ht="15" hidden="0">
      <x:c r="A105" s="4" t="s">
        <x:v>293</x:v>
      </x:c>
      <x:c r="B105" s="4" t="s">
        <x:v>32</x:v>
      </x:c>
      <x:c r="C105" s="4" t="s">
        <x:v>269</x:v>
      </x:c>
      <x:c r="D105" s="4" t="s">
        <x:v>270</x:v>
      </x:c>
      <x:c r="E105" s="4"/>
      <x:c r="F105" s="4"/>
      <x:c r="G105" s="4" t="s">
        <x:v>294</x:v>
      </x:c>
      <x:c r="H105" s="4" t="s">
        <x:v>15</x:v>
      </x:c>
      <x:c r="I105" s="4"/>
    </x:row>
    <x:row r="106" ht="15" hidden="0">
      <x:c r="A106" s="2" t="s">
        <x:v>295</x:v>
      </x:c>
      <x:c r="B106" s="2" t="s">
        <x:v>32</x:v>
      </x:c>
      <x:c r="C106" s="2" t="s">
        <x:v>269</x:v>
      </x:c>
      <x:c r="D106" s="2" t="s">
        <x:v>270</x:v>
      </x:c>
      <x:c r="E106" s="3" t="s">
        <x:v>296</x:v>
      </x:c>
      <x:c r="F106" s="2"/>
      <x:c r="G106" s="2" t="s">
        <x:v>297</x:v>
      </x:c>
      <x:c r="H106" s="2" t="s">
        <x:v>15</x:v>
      </x:c>
      <x:c r="I106" s="2"/>
    </x:row>
    <x:row r="107" ht="15" hidden="0">
      <x:c r="A107" s="4" t="s">
        <x:v>298</x:v>
      </x:c>
      <x:c r="B107" s="4" t="s">
        <x:v>54</x:v>
      </x:c>
      <x:c r="C107" s="4" t="s">
        <x:v>269</x:v>
      </x:c>
      <x:c r="D107" s="4" t="s">
        <x:v>270</x:v>
      </x:c>
      <x:c r="E107" s="5" t="s">
        <x:v>299</x:v>
      </x:c>
      <x:c r="F107" s="4"/>
      <x:c r="G107" s="4" t="s">
        <x:v>300</x:v>
      </x:c>
      <x:c r="H107" s="4" t="s">
        <x:v>15</x:v>
      </x:c>
      <x:c r="I107" s="4"/>
    </x:row>
    <x:row r="108" ht="15" hidden="0">
      <x:c r="A108" s="2" t="s">
        <x:v>301</x:v>
      </x:c>
      <x:c r="B108" s="2" t="s">
        <x:v>54</x:v>
      </x:c>
      <x:c r="C108" s="2" t="s">
        <x:v>269</x:v>
      </x:c>
      <x:c r="D108" s="2" t="s">
        <x:v>270</x:v>
      </x:c>
      <x:c r="E108" s="3" t="s">
        <x:v>302</x:v>
      </x:c>
      <x:c r="F108" s="2"/>
      <x:c r="G108" s="2" t="s">
        <x:v>303</x:v>
      </x:c>
      <x:c r="H108" s="2" t="s">
        <x:v>15</x:v>
      </x:c>
      <x:c r="I108" s="2"/>
    </x:row>
    <x:row r="109" ht="15" hidden="0">
      <x:c r="A109" s="4" t="s">
        <x:v>304</x:v>
      </x:c>
      <x:c r="B109" s="4" t="s">
        <x:v>54</x:v>
      </x:c>
      <x:c r="C109" s="4" t="s">
        <x:v>269</x:v>
      </x:c>
      <x:c r="D109" s="4" t="s">
        <x:v>270</x:v>
      </x:c>
      <x:c r="E109" s="5" t="s">
        <x:v>111</x:v>
      </x:c>
      <x:c r="F109" s="4"/>
      <x:c r="G109" s="4" t="s">
        <x:v>305</x:v>
      </x:c>
      <x:c r="H109" s="4" t="s">
        <x:v>15</x:v>
      </x:c>
      <x:c r="I109" s="4"/>
    </x:row>
    <x:row r="110" ht="15" hidden="0">
      <x:c r="A110" s="2" t="s">
        <x:v>306</x:v>
      </x:c>
      <x:c r="B110" s="2" t="s">
        <x:v>10</x:v>
      </x:c>
      <x:c r="C110" s="2" t="s">
        <x:v>307</x:v>
      </x:c>
      <x:c r="D110" s="2" t="s">
        <x:v>308</x:v>
      </x:c>
      <x:c r="E110" s="2"/>
      <x:c r="F110" s="2"/>
      <x:c r="G110" s="2" t="s">
        <x:v>309</x:v>
      </x:c>
      <x:c r="H110" s="2" t="s">
        <x:v>15</x:v>
      </x:c>
      <x:c r="I110" s="2"/>
    </x:row>
    <x:row r="111" ht="15" hidden="0">
      <x:c r="A111" s="4" t="s">
        <x:v>310</x:v>
      </x:c>
      <x:c r="B111" s="4" t="s">
        <x:v>10</x:v>
      </x:c>
      <x:c r="C111" s="4" t="s">
        <x:v>307</x:v>
      </x:c>
      <x:c r="D111" s="4" t="s">
        <x:v>308</x:v>
      </x:c>
      <x:c r="E111" s="4"/>
      <x:c r="F111" s="4"/>
      <x:c r="G111" s="4" t="s">
        <x:v>311</x:v>
      </x:c>
      <x:c r="H111" s="4" t="s">
        <x:v>15</x:v>
      </x:c>
      <x:c r="I111" s="4"/>
    </x:row>
    <x:row r="112" ht="15" hidden="0">
      <x:c r="A112" s="2" t="s">
        <x:v>312</x:v>
      </x:c>
      <x:c r="B112" s="2" t="s">
        <x:v>10</x:v>
      </x:c>
      <x:c r="C112" s="2" t="s">
        <x:v>307</x:v>
      </x:c>
      <x:c r="D112" s="2" t="s">
        <x:v>308</x:v>
      </x:c>
      <x:c r="E112" s="2"/>
      <x:c r="F112" s="2"/>
      <x:c r="G112" s="2" t="s">
        <x:v>313</x:v>
      </x:c>
      <x:c r="H112" s="2" t="s">
        <x:v>15</x:v>
      </x:c>
      <x:c r="I112" s="2"/>
    </x:row>
    <x:row r="113" ht="15" hidden="0">
      <x:c r="A113" s="4" t="s">
        <x:v>314</x:v>
      </x:c>
      <x:c r="B113" s="4" t="s">
        <x:v>32</x:v>
      </x:c>
      <x:c r="C113" s="4" t="s">
        <x:v>307</x:v>
      </x:c>
      <x:c r="D113" s="4" t="s">
        <x:v>308</x:v>
      </x:c>
      <x:c r="E113" s="5" t="s">
        <x:v>315</x:v>
      </x:c>
      <x:c r="F113" s="4"/>
      <x:c r="G113" s="4" t="s">
        <x:v>316</x:v>
      </x:c>
      <x:c r="H113" s="4" t="s">
        <x:v>15</x:v>
      </x:c>
      <x:c r="I113" s="4"/>
    </x:row>
    <x:row r="114" ht="15" hidden="0">
      <x:c r="A114" s="2" t="s">
        <x:v>317</x:v>
      </x:c>
      <x:c r="B114" s="2" t="s">
        <x:v>32</x:v>
      </x:c>
      <x:c r="C114" s="2" t="s">
        <x:v>307</x:v>
      </x:c>
      <x:c r="D114" s="2" t="s">
        <x:v>308</x:v>
      </x:c>
      <x:c r="E114" s="2"/>
      <x:c r="F114" s="2"/>
      <x:c r="G114" s="2" t="s">
        <x:v>318</x:v>
      </x:c>
      <x:c r="H114" s="2" t="s">
        <x:v>15</x:v>
      </x:c>
      <x:c r="I114" s="2"/>
    </x:row>
    <x:row r="115" ht="15" hidden="0">
      <x:c r="A115" s="4" t="s">
        <x:v>319</x:v>
      </x:c>
      <x:c r="B115" s="4" t="s">
        <x:v>32</x:v>
      </x:c>
      <x:c r="C115" s="4" t="s">
        <x:v>307</x:v>
      </x:c>
      <x:c r="D115" s="4" t="s">
        <x:v>308</x:v>
      </x:c>
      <x:c r="E115" s="4"/>
      <x:c r="F115" s="4"/>
      <x:c r="G115" s="4" t="s">
        <x:v>320</x:v>
      </x:c>
      <x:c r="H115" s="4" t="s">
        <x:v>15</x:v>
      </x:c>
      <x:c r="I115" s="4"/>
    </x:row>
    <x:row r="116" ht="15" hidden="0">
      <x:c r="A116" s="2" t="s">
        <x:v>321</x:v>
      </x:c>
      <x:c r="B116" s="2" t="s">
        <x:v>32</x:v>
      </x:c>
      <x:c r="C116" s="2" t="s">
        <x:v>307</x:v>
      </x:c>
      <x:c r="D116" s="2" t="s">
        <x:v>308</x:v>
      </x:c>
      <x:c r="E116" s="2"/>
      <x:c r="F116" s="2"/>
      <x:c r="G116" s="2" t="s">
        <x:v>322</x:v>
      </x:c>
      <x:c r="H116" s="2" t="s">
        <x:v>15</x:v>
      </x:c>
      <x:c r="I116" s="2"/>
    </x:row>
    <x:row r="117" ht="15" hidden="0">
      <x:c r="A117" s="4" t="s">
        <x:v>323</x:v>
      </x:c>
      <x:c r="B117" s="4" t="s">
        <x:v>32</x:v>
      </x:c>
      <x:c r="C117" s="4" t="s">
        <x:v>307</x:v>
      </x:c>
      <x:c r="D117" s="4" t="s">
        <x:v>308</x:v>
      </x:c>
      <x:c r="E117" s="4"/>
      <x:c r="F117" s="4"/>
      <x:c r="G117" s="4" t="s">
        <x:v>324</x:v>
      </x:c>
      <x:c r="H117" s="4" t="s">
        <x:v>15</x:v>
      </x:c>
      <x:c r="I117" s="4"/>
    </x:row>
    <x:row r="118" ht="15" hidden="0">
      <x:c r="A118" s="2" t="s">
        <x:v>325</x:v>
      </x:c>
      <x:c r="B118" s="2" t="s">
        <x:v>32</x:v>
      </x:c>
      <x:c r="C118" s="2" t="s">
        <x:v>307</x:v>
      </x:c>
      <x:c r="D118" s="2" t="s">
        <x:v>308</x:v>
      </x:c>
      <x:c r="E118" s="3" t="s">
        <x:v>326</x:v>
      </x:c>
      <x:c r="F118" s="2"/>
      <x:c r="G118" s="2" t="s">
        <x:v>327</x:v>
      </x:c>
      <x:c r="H118" s="2" t="s">
        <x:v>15</x:v>
      </x:c>
      <x:c r="I118" s="2"/>
    </x:row>
    <x:row r="119" ht="15" hidden="0">
      <x:c r="A119" s="4" t="s">
        <x:v>328</x:v>
      </x:c>
      <x:c r="B119" s="4" t="s">
        <x:v>54</x:v>
      </x:c>
      <x:c r="C119" s="4" t="s">
        <x:v>307</x:v>
      </x:c>
      <x:c r="D119" s="4" t="s">
        <x:v>308</x:v>
      </x:c>
      <x:c r="E119" s="4"/>
      <x:c r="F119" s="4"/>
      <x:c r="G119" s="4" t="s">
        <x:v>329</x:v>
      </x:c>
      <x:c r="H119" s="4" t="s">
        <x:v>15</x:v>
      </x:c>
      <x:c r="I119" s="4"/>
    </x:row>
    <x:row r="120" ht="15" hidden="0">
      <x:c r="A120" s="2" t="s">
        <x:v>330</x:v>
      </x:c>
      <x:c r="B120" s="2" t="s">
        <x:v>54</x:v>
      </x:c>
      <x:c r="C120" s="2" t="s">
        <x:v>307</x:v>
      </x:c>
      <x:c r="D120" s="2" t="s">
        <x:v>308</x:v>
      </x:c>
      <x:c r="E120" s="3" t="s">
        <x:v>331</x:v>
      </x:c>
      <x:c r="F120" s="2"/>
      <x:c r="G120" s="2" t="s">
        <x:v>332</x:v>
      </x:c>
      <x:c r="H120" s="2" t="s">
        <x:v>15</x:v>
      </x:c>
      <x:c r="I120" s="2"/>
    </x:row>
    <x:row r="121" ht="15" hidden="0">
      <x:c r="A121" s="4" t="s">
        <x:v>333</x:v>
      </x:c>
      <x:c r="B121" s="4" t="s">
        <x:v>54</x:v>
      </x:c>
      <x:c r="C121" s="4" t="s">
        <x:v>307</x:v>
      </x:c>
      <x:c r="D121" s="4" t="s">
        <x:v>308</x:v>
      </x:c>
      <x:c r="E121" s="5" t="s">
        <x:v>334</x:v>
      </x:c>
      <x:c r="F121" s="4"/>
      <x:c r="G121" s="4" t="s">
        <x:v>335</x:v>
      </x:c>
      <x:c r="H121" s="4" t="s">
        <x:v>15</x:v>
      </x:c>
      <x:c r="I121" s="4"/>
    </x:row>
    <x:row r="122" ht="15" hidden="0">
      <x:c r="A122" s="2" t="s">
        <x:v>336</x:v>
      </x:c>
      <x:c r="B122" s="2" t="s">
        <x:v>54</x:v>
      </x:c>
      <x:c r="C122" s="2" t="s">
        <x:v>307</x:v>
      </x:c>
      <x:c r="D122" s="2" t="s">
        <x:v>308</x:v>
      </x:c>
      <x:c r="E122" s="3" t="s">
        <x:v>337</x:v>
      </x:c>
      <x:c r="F122" s="2"/>
      <x:c r="G122" s="2" t="s">
        <x:v>338</x:v>
      </x:c>
      <x:c r="H122" s="2" t="s">
        <x:v>15</x:v>
      </x:c>
      <x:c r="I122" s="2"/>
    </x:row>
    <x:row r="123" ht="15" hidden="0">
      <x:c r="A123" s="4" t="s">
        <x:v>339</x:v>
      </x:c>
      <x:c r="B123" s="4" t="s">
        <x:v>54</x:v>
      </x:c>
      <x:c r="C123" s="4" t="s">
        <x:v>307</x:v>
      </x:c>
      <x:c r="D123" s="4" t="s">
        <x:v>308</x:v>
      </x:c>
      <x:c r="E123" s="5" t="s">
        <x:v>58</x:v>
      </x:c>
      <x:c r="F123" s="4"/>
      <x:c r="G123" s="4" t="s">
        <x:v>340</x:v>
      </x:c>
      <x:c r="H123" s="4" t="s">
        <x:v>15</x:v>
      </x:c>
      <x:c r="I123" s="4"/>
    </x:row>
    <x:row r="124" ht="15" hidden="0">
      <x:c r="A124" s="2" t="s">
        <x:v>341</x:v>
      </x:c>
      <x:c r="B124" s="2" t="s">
        <x:v>54</x:v>
      </x:c>
      <x:c r="C124" s="2" t="s">
        <x:v>307</x:v>
      </x:c>
      <x:c r="D124" s="2" t="s">
        <x:v>308</x:v>
      </x:c>
      <x:c r="E124" s="3" t="s">
        <x:v>342</x:v>
      </x:c>
      <x:c r="F124" s="2"/>
      <x:c r="G124" s="2" t="s">
        <x:v>343</x:v>
      </x:c>
      <x:c r="H124" s="2" t="s">
        <x:v>15</x:v>
      </x:c>
      <x:c r="I124" s="2"/>
    </x:row>
    <x:row r="125" ht="15" hidden="0">
      <x:c r="A125" s="4" t="s">
        <x:v>344</x:v>
      </x:c>
      <x:c r="B125" s="4" t="s">
        <x:v>54</x:v>
      </x:c>
      <x:c r="C125" s="4" t="s">
        <x:v>307</x:v>
      </x:c>
      <x:c r="D125" s="4" t="s">
        <x:v>308</x:v>
      </x:c>
      <x:c r="E125" s="5" t="s">
        <x:v>217</x:v>
      </x:c>
      <x:c r="F125" s="4"/>
      <x:c r="G125" s="4" t="s">
        <x:v>345</x:v>
      </x:c>
      <x:c r="H125" s="4" t="s">
        <x:v>15</x:v>
      </x:c>
      <x:c r="I125" s="4"/>
    </x:row>
    <x:row r="126" ht="15" hidden="0">
      <x:c r="A126" s="2" t="s">
        <x:v>346</x:v>
      </x:c>
      <x:c r="B126" s="2" t="s">
        <x:v>54</x:v>
      </x:c>
      <x:c r="C126" s="2" t="s">
        <x:v>307</x:v>
      </x:c>
      <x:c r="D126" s="2" t="s">
        <x:v>308</x:v>
      </x:c>
      <x:c r="E126" s="3" t="s">
        <x:v>347</x:v>
      </x:c>
      <x:c r="F126" s="2"/>
      <x:c r="G126" s="2" t="s">
        <x:v>348</x:v>
      </x:c>
      <x:c r="H126" s="2" t="s">
        <x:v>15</x:v>
      </x:c>
      <x:c r="I126" s="2"/>
    </x:row>
    <x:row r="127" ht="15" hidden="0">
      <x:c r="A127" s="4" t="s">
        <x:v>349</x:v>
      </x:c>
      <x:c r="B127" s="4" t="s">
        <x:v>10</x:v>
      </x:c>
      <x:c r="C127" s="4" t="s">
        <x:v>350</x:v>
      </x:c>
      <x:c r="D127" s="4" t="s">
        <x:v>351</x:v>
      </x:c>
      <x:c r="E127" s="5" t="s">
        <x:v>352</x:v>
      </x:c>
      <x:c r="F127" s="4"/>
      <x:c r="G127" s="4" t="s">
        <x:v>353</x:v>
      </x:c>
      <x:c r="H127" s="4" t="s">
        <x:v>15</x:v>
      </x:c>
      <x:c r="I127" s="4"/>
    </x:row>
    <x:row r="128" ht="15" hidden="0">
      <x:c r="A128" s="2" t="s">
        <x:v>354</x:v>
      </x:c>
      <x:c r="B128" s="2" t="s">
        <x:v>10</x:v>
      </x:c>
      <x:c r="C128" s="2" t="s">
        <x:v>350</x:v>
      </x:c>
      <x:c r="D128" s="2" t="s">
        <x:v>351</x:v>
      </x:c>
      <x:c r="E128" s="3" t="s">
        <x:v>355</x:v>
      </x:c>
      <x:c r="F128" s="2"/>
      <x:c r="G128" s="2" t="s">
        <x:v>356</x:v>
      </x:c>
      <x:c r="H128" s="2" t="s">
        <x:v>15</x:v>
      </x:c>
      <x:c r="I128" s="2"/>
    </x:row>
    <x:row r="129" ht="15" hidden="0">
      <x:c r="A129" s="4" t="s">
        <x:v>357</x:v>
      </x:c>
      <x:c r="B129" s="4" t="s">
        <x:v>10</x:v>
      </x:c>
      <x:c r="C129" s="4" t="s">
        <x:v>350</x:v>
      </x:c>
      <x:c r="D129" s="4" t="s">
        <x:v>351</x:v>
      </x:c>
      <x:c r="E129" s="5" t="s">
        <x:v>358</x:v>
      </x:c>
      <x:c r="F129" s="4"/>
      <x:c r="G129" s="4" t="s">
        <x:v>359</x:v>
      </x:c>
      <x:c r="H129" s="4" t="s">
        <x:v>15</x:v>
      </x:c>
      <x:c r="I129" s="4"/>
    </x:row>
    <x:row r="130" ht="15" hidden="0">
      <x:c r="A130" s="2" t="s">
        <x:v>360</x:v>
      </x:c>
      <x:c r="B130" s="2" t="s">
        <x:v>10</x:v>
      </x:c>
      <x:c r="C130" s="2" t="s">
        <x:v>350</x:v>
      </x:c>
      <x:c r="D130" s="2" t="s">
        <x:v>351</x:v>
      </x:c>
      <x:c r="E130" s="3" t="s">
        <x:v>361</x:v>
      </x:c>
      <x:c r="F130" s="2"/>
      <x:c r="G130" s="2" t="s">
        <x:v>362</x:v>
      </x:c>
      <x:c r="H130" s="2" t="s">
        <x:v>15</x:v>
      </x:c>
      <x:c r="I130" s="2"/>
    </x:row>
    <x:row r="131" ht="15" hidden="0">
      <x:c r="A131" s="4" t="s">
        <x:v>363</x:v>
      </x:c>
      <x:c r="B131" s="4" t="s">
        <x:v>10</x:v>
      </x:c>
      <x:c r="C131" s="4" t="s">
        <x:v>350</x:v>
      </x:c>
      <x:c r="D131" s="4" t="s">
        <x:v>351</x:v>
      </x:c>
      <x:c r="E131" s="4"/>
      <x:c r="F131" s="4"/>
      <x:c r="G131" s="4" t="s">
        <x:v>364</x:v>
      </x:c>
      <x:c r="H131" s="4" t="s">
        <x:v>15</x:v>
      </x:c>
      <x:c r="I131" s="4"/>
    </x:row>
    <x:row r="132" ht="15" hidden="0">
      <x:c r="A132" s="2" t="s">
        <x:v>365</x:v>
      </x:c>
      <x:c r="B132" s="2" t="s">
        <x:v>10</x:v>
      </x:c>
      <x:c r="C132" s="2" t="s">
        <x:v>350</x:v>
      </x:c>
      <x:c r="D132" s="2" t="s">
        <x:v>351</x:v>
      </x:c>
      <x:c r="E132" s="2"/>
      <x:c r="F132" s="2"/>
      <x:c r="G132" s="2" t="s">
        <x:v>366</x:v>
      </x:c>
      <x:c r="H132" s="2" t="s">
        <x:v>15</x:v>
      </x:c>
      <x:c r="I132" s="2"/>
    </x:row>
    <x:row r="133" ht="15" hidden="0">
      <x:c r="A133" s="4" t="s">
        <x:v>367</x:v>
      </x:c>
      <x:c r="B133" s="4" t="s">
        <x:v>10</x:v>
      </x:c>
      <x:c r="C133" s="4" t="s">
        <x:v>350</x:v>
      </x:c>
      <x:c r="D133" s="4" t="s">
        <x:v>351</x:v>
      </x:c>
      <x:c r="E133" s="4"/>
      <x:c r="F133" s="4"/>
      <x:c r="G133" s="4" t="s">
        <x:v>368</x:v>
      </x:c>
      <x:c r="H133" s="4" t="s">
        <x:v>15</x:v>
      </x:c>
      <x:c r="I133" s="4"/>
    </x:row>
    <x:row r="134" ht="15" hidden="0">
      <x:c r="A134" s="2" t="s">
        <x:v>369</x:v>
      </x:c>
      <x:c r="B134" s="2" t="s">
        <x:v>32</x:v>
      </x:c>
      <x:c r="C134" s="2" t="s">
        <x:v>350</x:v>
      </x:c>
      <x:c r="D134" s="2" t="s">
        <x:v>351</x:v>
      </x:c>
      <x:c r="E134" s="3" t="s">
        <x:v>370</x:v>
      </x:c>
      <x:c r="F134" s="2"/>
      <x:c r="G134" s="2" t="s">
        <x:v>371</x:v>
      </x:c>
      <x:c r="H134" s="2" t="s">
        <x:v>15</x:v>
      </x:c>
      <x:c r="I134" s="2"/>
    </x:row>
    <x:row r="135" ht="15" hidden="0">
      <x:c r="A135" s="4" t="s">
        <x:v>372</x:v>
      </x:c>
      <x:c r="B135" s="4" t="s">
        <x:v>32</x:v>
      </x:c>
      <x:c r="C135" s="4" t="s">
        <x:v>350</x:v>
      </x:c>
      <x:c r="D135" s="4" t="s">
        <x:v>351</x:v>
      </x:c>
      <x:c r="E135" s="5" t="s">
        <x:v>373</x:v>
      </x:c>
      <x:c r="F135" s="4" t="s">
        <x:v>374</x:v>
      </x:c>
      <x:c r="G135" s="4" t="s">
        <x:v>375</x:v>
      </x:c>
      <x:c r="H135" s="4" t="s">
        <x:v>15</x:v>
      </x:c>
      <x:c r="I135" s="4"/>
    </x:row>
    <x:row r="136" ht="15" hidden="0">
      <x:c r="A136" s="2" t="s">
        <x:v>376</x:v>
      </x:c>
      <x:c r="B136" s="2" t="s">
        <x:v>32</x:v>
      </x:c>
      <x:c r="C136" s="2" t="s">
        <x:v>350</x:v>
      </x:c>
      <x:c r="D136" s="2" t="s">
        <x:v>351</x:v>
      </x:c>
      <x:c r="E136" s="2"/>
      <x:c r="F136" s="2"/>
      <x:c r="G136" s="2" t="s">
        <x:v>377</x:v>
      </x:c>
      <x:c r="H136" s="2" t="s">
        <x:v>15</x:v>
      </x:c>
      <x:c r="I136" s="2"/>
    </x:row>
    <x:row r="137" ht="15" hidden="0">
      <x:c r="A137" s="4" t="s">
        <x:v>378</x:v>
      </x:c>
      <x:c r="B137" s="4" t="s">
        <x:v>32</x:v>
      </x:c>
      <x:c r="C137" s="4" t="s">
        <x:v>350</x:v>
      </x:c>
      <x:c r="D137" s="4" t="s">
        <x:v>351</x:v>
      </x:c>
      <x:c r="E137" s="5" t="s">
        <x:v>379</x:v>
      </x:c>
      <x:c r="F137" s="4"/>
      <x:c r="G137" s="4" t="s">
        <x:v>380</x:v>
      </x:c>
      <x:c r="H137" s="4" t="s">
        <x:v>15</x:v>
      </x:c>
      <x:c r="I137" s="4"/>
    </x:row>
    <x:row r="138" ht="15" hidden="0">
      <x:c r="A138" s="2" t="s">
        <x:v>381</x:v>
      </x:c>
      <x:c r="B138" s="2" t="s">
        <x:v>32</x:v>
      </x:c>
      <x:c r="C138" s="2" t="s">
        <x:v>350</x:v>
      </x:c>
      <x:c r="D138" s="2" t="s">
        <x:v>351</x:v>
      </x:c>
      <x:c r="E138" s="3" t="s">
        <x:v>382</x:v>
      </x:c>
      <x:c r="F138" s="2"/>
      <x:c r="G138" s="2" t="s">
        <x:v>383</x:v>
      </x:c>
      <x:c r="H138" s="2" t="s">
        <x:v>15</x:v>
      </x:c>
      <x:c r="I138" s="2"/>
    </x:row>
    <x:row r="139" ht="15" hidden="0">
      <x:c r="A139" s="4" t="s">
        <x:v>384</x:v>
      </x:c>
      <x:c r="B139" s="4" t="s">
        <x:v>32</x:v>
      </x:c>
      <x:c r="C139" s="4" t="s">
        <x:v>350</x:v>
      </x:c>
      <x:c r="D139" s="4" t="s">
        <x:v>351</x:v>
      </x:c>
      <x:c r="E139" s="5" t="s">
        <x:v>385</x:v>
      </x:c>
      <x:c r="F139" s="4"/>
      <x:c r="G139" s="4" t="s">
        <x:v>386</x:v>
      </x:c>
      <x:c r="H139" s="4" t="s">
        <x:v>15</x:v>
      </x:c>
      <x:c r="I139" s="4"/>
    </x:row>
    <x:row r="140" ht="15" hidden="0">
      <x:c r="A140" s="2" t="s">
        <x:v>387</x:v>
      </x:c>
      <x:c r="B140" s="2" t="s">
        <x:v>32</x:v>
      </x:c>
      <x:c r="C140" s="2" t="s">
        <x:v>350</x:v>
      </x:c>
      <x:c r="D140" s="2" t="s">
        <x:v>351</x:v>
      </x:c>
      <x:c r="E140" s="3" t="s">
        <x:v>36</x:v>
      </x:c>
      <x:c r="F140" s="2"/>
      <x:c r="G140" s="2" t="s">
        <x:v>388</x:v>
      </x:c>
      <x:c r="H140" s="2" t="s">
        <x:v>15</x:v>
      </x:c>
      <x:c r="I140" s="2"/>
    </x:row>
    <x:row r="141" ht="15" hidden="0">
      <x:c r="A141" s="4" t="s">
        <x:v>389</x:v>
      </x:c>
      <x:c r="B141" s="4" t="s">
        <x:v>54</x:v>
      </x:c>
      <x:c r="C141" s="4" t="s">
        <x:v>350</x:v>
      </x:c>
      <x:c r="D141" s="4" t="s">
        <x:v>351</x:v>
      </x:c>
      <x:c r="E141" s="5" t="s">
        <x:v>58</x:v>
      </x:c>
      <x:c r="F141" s="4"/>
      <x:c r="G141" s="4" t="s">
        <x:v>390</x:v>
      </x:c>
      <x:c r="H141" s="4" t="s">
        <x:v>15</x:v>
      </x:c>
      <x:c r="I141" s="4"/>
    </x:row>
    <x:row r="142" ht="15" hidden="0">
      <x:c r="A142" s="2" t="s">
        <x:v>391</x:v>
      </x:c>
      <x:c r="B142" s="2" t="s">
        <x:v>54</x:v>
      </x:c>
      <x:c r="C142" s="2" t="s">
        <x:v>350</x:v>
      </x:c>
      <x:c r="D142" s="2" t="s">
        <x:v>351</x:v>
      </x:c>
      <x:c r="E142" s="3" t="s">
        <x:v>392</x:v>
      </x:c>
      <x:c r="F142" s="2"/>
      <x:c r="G142" s="2" t="s">
        <x:v>393</x:v>
      </x:c>
      <x:c r="H142" s="2" t="s">
        <x:v>15</x:v>
      </x:c>
      <x:c r="I142" s="2"/>
    </x:row>
    <x:row r="143" ht="15" hidden="0">
      <x:c r="A143" s="4" t="s">
        <x:v>394</x:v>
      </x:c>
      <x:c r="B143" s="4" t="s">
        <x:v>54</x:v>
      </x:c>
      <x:c r="C143" s="4" t="s">
        <x:v>350</x:v>
      </x:c>
      <x:c r="D143" s="4" t="s">
        <x:v>351</x:v>
      </x:c>
      <x:c r="E143" s="5" t="s">
        <x:v>395</x:v>
      </x:c>
      <x:c r="F143" s="4" t="s">
        <x:v>396</x:v>
      </x:c>
      <x:c r="G143" s="4" t="s">
        <x:v>397</x:v>
      </x:c>
      <x:c r="H143" s="4" t="s">
        <x:v>15</x:v>
      </x:c>
      <x:c r="I143" s="4"/>
    </x:row>
    <x:row r="144" ht="15" hidden="0">
      <x:c r="A144" s="2" t="s">
        <x:v>398</x:v>
      </x:c>
      <x:c r="B144" s="2" t="s">
        <x:v>54</x:v>
      </x:c>
      <x:c r="C144" s="2" t="s">
        <x:v>350</x:v>
      </x:c>
      <x:c r="D144" s="2" t="s">
        <x:v>351</x:v>
      </x:c>
      <x:c r="E144" s="3" t="s">
        <x:v>399</x:v>
      </x:c>
      <x:c r="F144" s="2"/>
      <x:c r="G144" s="2" t="s">
        <x:v>400</x:v>
      </x:c>
      <x:c r="H144" s="2" t="s">
        <x:v>15</x:v>
      </x:c>
      <x:c r="I144" s="2"/>
    </x:row>
    <x:row r="145" ht="15" hidden="0">
      <x:c r="A145" s="4" t="s">
        <x:v>401</x:v>
      </x:c>
      <x:c r="B145" s="4" t="s">
        <x:v>10</x:v>
      </x:c>
      <x:c r="C145" s="4" t="s">
        <x:v>402</x:v>
      </x:c>
      <x:c r="D145" s="4" t="s">
        <x:v>403</x:v>
      </x:c>
      <x:c r="E145" s="4"/>
      <x:c r="F145" s="4"/>
      <x:c r="G145" s="4" t="s">
        <x:v>404</x:v>
      </x:c>
      <x:c r="H145" s="4" t="s">
        <x:v>15</x:v>
      </x:c>
      <x:c r="I145" s="4"/>
    </x:row>
    <x:row r="146" ht="15" hidden="0">
      <x:c r="A146" s="2" t="s">
        <x:v>405</x:v>
      </x:c>
      <x:c r="B146" s="2" t="s">
        <x:v>10</x:v>
      </x:c>
      <x:c r="C146" s="2" t="s">
        <x:v>402</x:v>
      </x:c>
      <x:c r="D146" s="2" t="s">
        <x:v>403</x:v>
      </x:c>
      <x:c r="E146" s="2"/>
      <x:c r="F146" s="2"/>
      <x:c r="G146" s="2" t="s">
        <x:v>406</x:v>
      </x:c>
      <x:c r="H146" s="2" t="s">
        <x:v>15</x:v>
      </x:c>
      <x:c r="I146" s="2"/>
    </x:row>
    <x:row r="147" ht="15" hidden="0">
      <x:c r="A147" s="4" t="s">
        <x:v>407</x:v>
      </x:c>
      <x:c r="B147" s="4" t="s">
        <x:v>10</x:v>
      </x:c>
      <x:c r="C147" s="4" t="s">
        <x:v>402</x:v>
      </x:c>
      <x:c r="D147" s="4" t="s">
        <x:v>403</x:v>
      </x:c>
      <x:c r="E147" s="5" t="s">
        <x:v>408</x:v>
      </x:c>
      <x:c r="F147" s="4"/>
      <x:c r="G147" s="4" t="s">
        <x:v>362</x:v>
      </x:c>
      <x:c r="H147" s="4" t="s">
        <x:v>15</x:v>
      </x:c>
      <x:c r="I147" s="4"/>
    </x:row>
    <x:row r="148" ht="15" hidden="0">
      <x:c r="A148" s="2" t="s">
        <x:v>409</x:v>
      </x:c>
      <x:c r="B148" s="2" t="s">
        <x:v>32</x:v>
      </x:c>
      <x:c r="C148" s="2" t="s">
        <x:v>402</x:v>
      </x:c>
      <x:c r="D148" s="2" t="s">
        <x:v>403</x:v>
      </x:c>
      <x:c r="E148" s="3" t="s">
        <x:v>410</x:v>
      </x:c>
      <x:c r="F148" s="2"/>
      <x:c r="G148" s="2" t="s">
        <x:v>411</x:v>
      </x:c>
      <x:c r="H148" s="2" t="s">
        <x:v>15</x:v>
      </x:c>
      <x:c r="I148" s="2"/>
    </x:row>
    <x:row r="149" ht="15" hidden="0">
      <x:c r="A149" s="4" t="s">
        <x:v>412</x:v>
      </x:c>
      <x:c r="B149" s="4" t="s">
        <x:v>32</x:v>
      </x:c>
      <x:c r="C149" s="4" t="s">
        <x:v>402</x:v>
      </x:c>
      <x:c r="D149" s="4" t="s">
        <x:v>403</x:v>
      </x:c>
      <x:c r="E149" s="5" t="s">
        <x:v>413</x:v>
      </x:c>
      <x:c r="F149" s="4"/>
      <x:c r="G149" s="4" t="s">
        <x:v>414</x:v>
      </x:c>
      <x:c r="H149" s="4" t="s">
        <x:v>15</x:v>
      </x:c>
      <x:c r="I149" s="4"/>
    </x:row>
    <x:row r="150" ht="15" hidden="0">
      <x:c r="A150" s="2" t="s">
        <x:v>415</x:v>
      </x:c>
      <x:c r="B150" s="2" t="s">
        <x:v>32</x:v>
      </x:c>
      <x:c r="C150" s="2" t="s">
        <x:v>402</x:v>
      </x:c>
      <x:c r="D150" s="2" t="s">
        <x:v>403</x:v>
      </x:c>
      <x:c r="E150" s="3" t="s">
        <x:v>416</x:v>
      </x:c>
      <x:c r="F150" s="2"/>
      <x:c r="G150" s="2" t="s">
        <x:v>417</x:v>
      </x:c>
      <x:c r="H150" s="2" t="s">
        <x:v>15</x:v>
      </x:c>
      <x:c r="I150" s="2"/>
    </x:row>
    <x:row r="151" ht="15" hidden="0">
      <x:c r="A151" s="4" t="s">
        <x:v>418</x:v>
      </x:c>
      <x:c r="B151" s="4" t="s">
        <x:v>32</x:v>
      </x:c>
      <x:c r="C151" s="4" t="s">
        <x:v>402</x:v>
      </x:c>
      <x:c r="D151" s="4" t="s">
        <x:v>403</x:v>
      </x:c>
      <x:c r="E151" s="5" t="s">
        <x:v>419</x:v>
      </x:c>
      <x:c r="F151" s="4"/>
      <x:c r="G151" s="4" t="s">
        <x:v>420</x:v>
      </x:c>
      <x:c r="H151" s="4" t="s">
        <x:v>15</x:v>
      </x:c>
      <x:c r="I151" s="4"/>
    </x:row>
    <x:row r="152" ht="15" hidden="0">
      <x:c r="A152" s="2" t="s">
        <x:v>421</x:v>
      </x:c>
      <x:c r="B152" s="2" t="s">
        <x:v>32</x:v>
      </x:c>
      <x:c r="C152" s="2" t="s">
        <x:v>402</x:v>
      </x:c>
      <x:c r="D152" s="2" t="s">
        <x:v>403</x:v>
      </x:c>
      <x:c r="E152" s="3" t="s">
        <x:v>422</x:v>
      </x:c>
      <x:c r="F152" s="2"/>
      <x:c r="G152" s="2" t="s">
        <x:v>423</x:v>
      </x:c>
      <x:c r="H152" s="2" t="s">
        <x:v>15</x:v>
      </x:c>
      <x:c r="I152" s="2"/>
    </x:row>
    <x:row r="153" ht="15" hidden="0">
      <x:c r="A153" s="4" t="s">
        <x:v>424</x:v>
      </x:c>
      <x:c r="B153" s="4" t="s">
        <x:v>32</x:v>
      </x:c>
      <x:c r="C153" s="4" t="s">
        <x:v>402</x:v>
      </x:c>
      <x:c r="D153" s="4" t="s">
        <x:v>403</x:v>
      </x:c>
      <x:c r="E153" s="4"/>
      <x:c r="F153" s="4"/>
      <x:c r="G153" s="4" t="s">
        <x:v>425</x:v>
      </x:c>
      <x:c r="H153" s="4" t="s">
        <x:v>15</x:v>
      </x:c>
      <x:c r="I153" s="4"/>
    </x:row>
    <x:row r="154" ht="15" hidden="0">
      <x:c r="A154" s="2" t="s">
        <x:v>426</x:v>
      </x:c>
      <x:c r="B154" s="2" t="s">
        <x:v>32</x:v>
      </x:c>
      <x:c r="C154" s="2" t="s">
        <x:v>402</x:v>
      </x:c>
      <x:c r="D154" s="2" t="s">
        <x:v>403</x:v>
      </x:c>
      <x:c r="E154" s="3" t="s">
        <x:v>427</x:v>
      </x:c>
      <x:c r="F154" s="2"/>
      <x:c r="G154" s="2" t="s">
        <x:v>428</x:v>
      </x:c>
      <x:c r="H154" s="2" t="s">
        <x:v>15</x:v>
      </x:c>
      <x:c r="I154" s="2"/>
    </x:row>
    <x:row r="155" ht="15" hidden="0">
      <x:c r="A155" s="4" t="s">
        <x:v>429</x:v>
      </x:c>
      <x:c r="B155" s="4" t="s">
        <x:v>32</x:v>
      </x:c>
      <x:c r="C155" s="4" t="s">
        <x:v>402</x:v>
      </x:c>
      <x:c r="D155" s="4" t="s">
        <x:v>403</x:v>
      </x:c>
      <x:c r="E155" s="4"/>
      <x:c r="F155" s="4"/>
      <x:c r="G155" s="4" t="s">
        <x:v>430</x:v>
      </x:c>
      <x:c r="H155" s="4" t="s">
        <x:v>15</x:v>
      </x:c>
      <x:c r="I155" s="4"/>
    </x:row>
    <x:row r="156" ht="15" hidden="0">
      <x:c r="A156" s="2" t="s">
        <x:v>431</x:v>
      </x:c>
      <x:c r="B156" s="2" t="s">
        <x:v>32</x:v>
      </x:c>
      <x:c r="C156" s="2" t="s">
        <x:v>402</x:v>
      </x:c>
      <x:c r="D156" s="2" t="s">
        <x:v>403</x:v>
      </x:c>
      <x:c r="E156" s="3" t="s">
        <x:v>432</x:v>
      </x:c>
      <x:c r="F156" s="2"/>
      <x:c r="G156" s="2" t="s">
        <x:v>327</x:v>
      </x:c>
      <x:c r="H156" s="2" t="s">
        <x:v>15</x:v>
      </x:c>
      <x:c r="I156" s="2"/>
    </x:row>
    <x:row r="157" ht="15" hidden="0">
      <x:c r="A157" s="4" t="s">
        <x:v>433</x:v>
      </x:c>
      <x:c r="B157" s="4" t="s">
        <x:v>54</x:v>
      </x:c>
      <x:c r="C157" s="4" t="s">
        <x:v>402</x:v>
      </x:c>
      <x:c r="D157" s="4" t="s">
        <x:v>403</x:v>
      </x:c>
      <x:c r="E157" s="4"/>
      <x:c r="F157" s="4"/>
      <x:c r="G157" s="4" t="s">
        <x:v>434</x:v>
      </x:c>
      <x:c r="H157" s="4" t="s">
        <x:v>15</x:v>
      </x:c>
      <x:c r="I157" s="4"/>
    </x:row>
  </x:sheetData>
  <x:dataValidations count="2">
    <x:dataValidation type="list" sqref="B2:B1000">
      <x:formula1>"Wedding planner,Event planner / DMC,Entertainment agency,DJ / MC,Venue / hotel,Corporate buyer,Program buyer,Other"</x:formula1>
    </x:dataValidation>
    <x:dataValidation type="list" sqref="H2:H1000">
      <x:formula1>"Not contacted,Ready,First contact,Follow-up,Replied,Meeting,Active partner,Not now,Do not contact"</x:formula1>
    </x:dataValidation>
  </x:dataValidations>
  <x:hyperlinks>
    <x:hyperlink xmlns:r="http://schemas.openxmlformats.org/officeDocument/2006/relationships" ref="E2" r:id="Rb571c996f8f4437f"/>
    <x:hyperlink xmlns:r="http://schemas.openxmlformats.org/officeDocument/2006/relationships" ref="E3" r:id="R9c14a968798d4e8e"/>
    <x:hyperlink xmlns:r="http://schemas.openxmlformats.org/officeDocument/2006/relationships" ref="E10" r:id="R8185f5b5f822422d"/>
    <x:hyperlink xmlns:r="http://schemas.openxmlformats.org/officeDocument/2006/relationships" ref="E11" r:id="Rb2f31d92bd074065"/>
    <x:hyperlink xmlns:r="http://schemas.openxmlformats.org/officeDocument/2006/relationships" ref="E12" r:id="Rb5d47b3af21e44c5"/>
    <x:hyperlink xmlns:r="http://schemas.openxmlformats.org/officeDocument/2006/relationships" ref="E13" r:id="Rcc946684268a4ef1"/>
    <x:hyperlink xmlns:r="http://schemas.openxmlformats.org/officeDocument/2006/relationships" ref="E14" r:id="R74cb824c468140d6"/>
    <x:hyperlink xmlns:r="http://schemas.openxmlformats.org/officeDocument/2006/relationships" ref="E15" r:id="R4c486be336f4435f"/>
    <x:hyperlink xmlns:r="http://schemas.openxmlformats.org/officeDocument/2006/relationships" ref="E16" r:id="Rb7946d987af34380"/>
    <x:hyperlink xmlns:r="http://schemas.openxmlformats.org/officeDocument/2006/relationships" ref="E17" r:id="Rfba13da6544e48d9"/>
    <x:hyperlink xmlns:r="http://schemas.openxmlformats.org/officeDocument/2006/relationships" ref="E18" r:id="R78828c671445411f"/>
    <x:hyperlink xmlns:r="http://schemas.openxmlformats.org/officeDocument/2006/relationships" ref="E19" r:id="Rd2f9cd23c0fe4443"/>
    <x:hyperlink xmlns:r="http://schemas.openxmlformats.org/officeDocument/2006/relationships" ref="E20" r:id="R6edf1c0f30ef4e2c"/>
    <x:hyperlink xmlns:r="http://schemas.openxmlformats.org/officeDocument/2006/relationships" ref="E21" r:id="R60b7c5da354c4fce"/>
    <x:hyperlink xmlns:r="http://schemas.openxmlformats.org/officeDocument/2006/relationships" ref="E22" r:id="R393702b3133043f6"/>
    <x:hyperlink xmlns:r="http://schemas.openxmlformats.org/officeDocument/2006/relationships" ref="E23" r:id="R46866aa5bf014110"/>
    <x:hyperlink xmlns:r="http://schemas.openxmlformats.org/officeDocument/2006/relationships" ref="E24" r:id="R87f8d5fe88504ccf"/>
    <x:hyperlink xmlns:r="http://schemas.openxmlformats.org/officeDocument/2006/relationships" ref="E25" r:id="Re7109fb9ae134726"/>
    <x:hyperlink xmlns:r="http://schemas.openxmlformats.org/officeDocument/2006/relationships" ref="E32" r:id="R83e9b3de1382468b"/>
    <x:hyperlink xmlns:r="http://schemas.openxmlformats.org/officeDocument/2006/relationships" ref="E33" r:id="Reb2ca3700f1b48c4"/>
    <x:hyperlink xmlns:r="http://schemas.openxmlformats.org/officeDocument/2006/relationships" ref="E34" r:id="Rdd8ba9b5ee9b4986"/>
    <x:hyperlink xmlns:r="http://schemas.openxmlformats.org/officeDocument/2006/relationships" ref="E35" r:id="Rab996fa470114702"/>
    <x:hyperlink xmlns:r="http://schemas.openxmlformats.org/officeDocument/2006/relationships" ref="E36" r:id="R95dbbbc8bca34f0f"/>
    <x:hyperlink xmlns:r="http://schemas.openxmlformats.org/officeDocument/2006/relationships" ref="E37" r:id="Rdeaa1b9855234d81"/>
    <x:hyperlink xmlns:r="http://schemas.openxmlformats.org/officeDocument/2006/relationships" ref="E42" r:id="R40a40cf0435f40cf"/>
    <x:hyperlink xmlns:r="http://schemas.openxmlformats.org/officeDocument/2006/relationships" ref="E43" r:id="R82da9be6e23345ca"/>
    <x:hyperlink xmlns:r="http://schemas.openxmlformats.org/officeDocument/2006/relationships" ref="E44" r:id="Ra2ef78036aa4441f"/>
    <x:hyperlink xmlns:r="http://schemas.openxmlformats.org/officeDocument/2006/relationships" ref="E47" r:id="R1a0cc07308b740d2"/>
    <x:hyperlink xmlns:r="http://schemas.openxmlformats.org/officeDocument/2006/relationships" ref="E48" r:id="R2cd3de7122774b12"/>
    <x:hyperlink xmlns:r="http://schemas.openxmlformats.org/officeDocument/2006/relationships" ref="E51" r:id="Rf4016994c3a84163"/>
    <x:hyperlink xmlns:r="http://schemas.openxmlformats.org/officeDocument/2006/relationships" ref="E52" r:id="Rc3f9a7cc78bb42a9"/>
    <x:hyperlink xmlns:r="http://schemas.openxmlformats.org/officeDocument/2006/relationships" ref="E53" r:id="R2f258e62c5524cad"/>
    <x:hyperlink xmlns:r="http://schemas.openxmlformats.org/officeDocument/2006/relationships" ref="E55" r:id="Rd726622d82394b46"/>
    <x:hyperlink xmlns:r="http://schemas.openxmlformats.org/officeDocument/2006/relationships" ref="E59" r:id="R663161d7ad554737"/>
    <x:hyperlink xmlns:r="http://schemas.openxmlformats.org/officeDocument/2006/relationships" ref="E63" r:id="R93f7ff2302284471"/>
    <x:hyperlink xmlns:r="http://schemas.openxmlformats.org/officeDocument/2006/relationships" ref="E64" r:id="R0b69a38d5a2748cd"/>
    <x:hyperlink xmlns:r="http://schemas.openxmlformats.org/officeDocument/2006/relationships" ref="E65" r:id="R92f5792b069745dd"/>
    <x:hyperlink xmlns:r="http://schemas.openxmlformats.org/officeDocument/2006/relationships" ref="E66" r:id="Ra353d8beaab143ed"/>
    <x:hyperlink xmlns:r="http://schemas.openxmlformats.org/officeDocument/2006/relationships" ref="E69" r:id="Rbe0fa0d457254aed"/>
    <x:hyperlink xmlns:r="http://schemas.openxmlformats.org/officeDocument/2006/relationships" ref="E72" r:id="Rd5b1181b639549c4"/>
    <x:hyperlink xmlns:r="http://schemas.openxmlformats.org/officeDocument/2006/relationships" ref="E75" r:id="Rc1e4ade18f0b4023"/>
    <x:hyperlink xmlns:r="http://schemas.openxmlformats.org/officeDocument/2006/relationships" ref="E76" r:id="Ra653fd775f8c4f14"/>
    <x:hyperlink xmlns:r="http://schemas.openxmlformats.org/officeDocument/2006/relationships" ref="E77" r:id="R3040a65cc0434498"/>
    <x:hyperlink xmlns:r="http://schemas.openxmlformats.org/officeDocument/2006/relationships" ref="E78" r:id="Rb96a8a34b955448a"/>
    <x:hyperlink xmlns:r="http://schemas.openxmlformats.org/officeDocument/2006/relationships" ref="E79" r:id="Rcc1d0406c66d447b"/>
    <x:hyperlink xmlns:r="http://schemas.openxmlformats.org/officeDocument/2006/relationships" ref="E80" r:id="Ra67237b2ba6044ba"/>
    <x:hyperlink xmlns:r="http://schemas.openxmlformats.org/officeDocument/2006/relationships" ref="E81" r:id="R34a424e10e5b4943"/>
    <x:hyperlink xmlns:r="http://schemas.openxmlformats.org/officeDocument/2006/relationships" ref="E82" r:id="Re0f3fc14806e4167"/>
    <x:hyperlink xmlns:r="http://schemas.openxmlformats.org/officeDocument/2006/relationships" ref="E83" r:id="R9e0357594ebd46a4"/>
    <x:hyperlink xmlns:r="http://schemas.openxmlformats.org/officeDocument/2006/relationships" ref="E85" r:id="R45a13de18adb4079"/>
    <x:hyperlink xmlns:r="http://schemas.openxmlformats.org/officeDocument/2006/relationships" ref="E86" r:id="R6f342edf89d245bf"/>
    <x:hyperlink xmlns:r="http://schemas.openxmlformats.org/officeDocument/2006/relationships" ref="E87" r:id="R3fa0fcdb0d1343fd"/>
    <x:hyperlink xmlns:r="http://schemas.openxmlformats.org/officeDocument/2006/relationships" ref="E88" r:id="R690f33084e40413e"/>
    <x:hyperlink xmlns:r="http://schemas.openxmlformats.org/officeDocument/2006/relationships" ref="E90" r:id="R874898b2521e4fec"/>
    <x:hyperlink xmlns:r="http://schemas.openxmlformats.org/officeDocument/2006/relationships" ref="E91" r:id="Rcbaeff33984a4cc0"/>
    <x:hyperlink xmlns:r="http://schemas.openxmlformats.org/officeDocument/2006/relationships" ref="E92" r:id="R4037693b8a364276"/>
    <x:hyperlink xmlns:r="http://schemas.openxmlformats.org/officeDocument/2006/relationships" ref="E93" r:id="Rc4e556b152384635"/>
    <x:hyperlink xmlns:r="http://schemas.openxmlformats.org/officeDocument/2006/relationships" ref="E94" r:id="Rd060f87ad4e74268"/>
    <x:hyperlink xmlns:r="http://schemas.openxmlformats.org/officeDocument/2006/relationships" ref="E96" r:id="R81ac2d8888f14a8c"/>
    <x:hyperlink xmlns:r="http://schemas.openxmlformats.org/officeDocument/2006/relationships" ref="E98" r:id="R43bb33a4c7424fe5"/>
    <x:hyperlink xmlns:r="http://schemas.openxmlformats.org/officeDocument/2006/relationships" ref="E101" r:id="Rdc77d73036314c27"/>
    <x:hyperlink xmlns:r="http://schemas.openxmlformats.org/officeDocument/2006/relationships" ref="E103" r:id="Rf55eb2306aba4bf5"/>
    <x:hyperlink xmlns:r="http://schemas.openxmlformats.org/officeDocument/2006/relationships" ref="E104" r:id="Rfd780ecece3345b7"/>
    <x:hyperlink xmlns:r="http://schemas.openxmlformats.org/officeDocument/2006/relationships" ref="E106" r:id="R9b6822e99eff4bdb"/>
    <x:hyperlink xmlns:r="http://schemas.openxmlformats.org/officeDocument/2006/relationships" ref="E107" r:id="Rd657c75526dd4718"/>
    <x:hyperlink xmlns:r="http://schemas.openxmlformats.org/officeDocument/2006/relationships" ref="E108" r:id="R787b356a952d49aa"/>
    <x:hyperlink xmlns:r="http://schemas.openxmlformats.org/officeDocument/2006/relationships" ref="E109" r:id="Rfb99baa33bcc49c0"/>
    <x:hyperlink xmlns:r="http://schemas.openxmlformats.org/officeDocument/2006/relationships" ref="E113" r:id="Rac2cc8ce28cd45b2"/>
    <x:hyperlink xmlns:r="http://schemas.openxmlformats.org/officeDocument/2006/relationships" ref="E118" r:id="Rb346f670fc7242d6"/>
    <x:hyperlink xmlns:r="http://schemas.openxmlformats.org/officeDocument/2006/relationships" ref="E120" r:id="Rdff018f954b942d0"/>
    <x:hyperlink xmlns:r="http://schemas.openxmlformats.org/officeDocument/2006/relationships" ref="E121" r:id="R1d6cd4a0365b44df"/>
    <x:hyperlink xmlns:r="http://schemas.openxmlformats.org/officeDocument/2006/relationships" ref="E122" r:id="R6701fc5c00654d01"/>
    <x:hyperlink xmlns:r="http://schemas.openxmlformats.org/officeDocument/2006/relationships" ref="E123" r:id="R7b017147ee2c4c11"/>
    <x:hyperlink xmlns:r="http://schemas.openxmlformats.org/officeDocument/2006/relationships" ref="E124" r:id="R8b002ce1114841b0"/>
    <x:hyperlink xmlns:r="http://schemas.openxmlformats.org/officeDocument/2006/relationships" ref="E125" r:id="R046db87cc2b14549"/>
    <x:hyperlink xmlns:r="http://schemas.openxmlformats.org/officeDocument/2006/relationships" ref="E126" r:id="Rac881560c8fd4588"/>
    <x:hyperlink xmlns:r="http://schemas.openxmlformats.org/officeDocument/2006/relationships" ref="E127" r:id="R530f5fb88b0e469f"/>
    <x:hyperlink xmlns:r="http://schemas.openxmlformats.org/officeDocument/2006/relationships" ref="E128" r:id="Rdd7caf5a59524e8b"/>
    <x:hyperlink xmlns:r="http://schemas.openxmlformats.org/officeDocument/2006/relationships" ref="E129" r:id="R37996d34f97144ad"/>
    <x:hyperlink xmlns:r="http://schemas.openxmlformats.org/officeDocument/2006/relationships" ref="E130" r:id="Rf26a49bd8523427b"/>
    <x:hyperlink xmlns:r="http://schemas.openxmlformats.org/officeDocument/2006/relationships" ref="E134" r:id="R014e469ee59148dc"/>
    <x:hyperlink xmlns:r="http://schemas.openxmlformats.org/officeDocument/2006/relationships" ref="E135" r:id="R306867773f56470b"/>
    <x:hyperlink xmlns:r="http://schemas.openxmlformats.org/officeDocument/2006/relationships" ref="E137" r:id="Rcd93ded478fa4905"/>
    <x:hyperlink xmlns:r="http://schemas.openxmlformats.org/officeDocument/2006/relationships" ref="E138" r:id="R9a3d258cb3f74102"/>
    <x:hyperlink xmlns:r="http://schemas.openxmlformats.org/officeDocument/2006/relationships" ref="E139" r:id="R31eb472a2d254a62"/>
    <x:hyperlink xmlns:r="http://schemas.openxmlformats.org/officeDocument/2006/relationships" ref="E140" r:id="Rd5487f43022c4722"/>
    <x:hyperlink xmlns:r="http://schemas.openxmlformats.org/officeDocument/2006/relationships" ref="E141" r:id="Re495eb2d35ec4d07"/>
    <x:hyperlink xmlns:r="http://schemas.openxmlformats.org/officeDocument/2006/relationships" ref="E142" r:id="Rae6d73bd4c544f84"/>
    <x:hyperlink xmlns:r="http://schemas.openxmlformats.org/officeDocument/2006/relationships" ref="E143" r:id="R47d81f92e20d44a5"/>
    <x:hyperlink xmlns:r="http://schemas.openxmlformats.org/officeDocument/2006/relationships" ref="E144" r:id="R5fa2e0779df14c04"/>
    <x:hyperlink xmlns:r="http://schemas.openxmlformats.org/officeDocument/2006/relationships" ref="E147" r:id="Rc9a9d5536ac54857"/>
    <x:hyperlink xmlns:r="http://schemas.openxmlformats.org/officeDocument/2006/relationships" ref="E148" r:id="R25b9df3e5ff8442f"/>
    <x:hyperlink xmlns:r="http://schemas.openxmlformats.org/officeDocument/2006/relationships" ref="E149" r:id="Re9c3d1cdb9f04fcc"/>
    <x:hyperlink xmlns:r="http://schemas.openxmlformats.org/officeDocument/2006/relationships" ref="E150" r:id="R7cf36634bf734829"/>
    <x:hyperlink xmlns:r="http://schemas.openxmlformats.org/officeDocument/2006/relationships" ref="E151" r:id="R28a5e2a326484261"/>
    <x:hyperlink xmlns:r="http://schemas.openxmlformats.org/officeDocument/2006/relationships" ref="E152" r:id="Re23a75b206734ea5"/>
    <x:hyperlink xmlns:r="http://schemas.openxmlformats.org/officeDocument/2006/relationships" ref="E154" r:id="R3661454a3b6141b0"/>
    <x:hyperlink xmlns:r="http://schemas.openxmlformats.org/officeDocument/2006/relationships" ref="E156" r:id="R5a1084b0c6ca4065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12" hidden="0" customWidth="1"/>
  </x:cols>
  <x:sheetData>
    <x:row r="1" ht="34" hidden="0" customHeight="1">
      <x:c r="A1" s="12" t="str">
        <x:v>Launch-market outreach coverage</x:v>
      </x:c>
      <x:c r="B1" s="12"/>
      <x:c r="C1" s="12"/>
      <x:c r="D1" s="12"/>
      <x:c r="E1" s="12"/>
      <x:c r="F1" s="12"/>
    </x:row>
    <x:row r="2" ht="34" customHeight="1">
      <x:c r="A2" s="16" t="str">
        <x:v>Counts are formula-driven from the preserved Outreach List. DJ and San Francisco Bay Area gaps are visible instead of hidden.</x:v>
      </x:c>
      <x:c r="B2" s="16"/>
      <x:c r="C2" s="16"/>
      <x:c r="D2" s="16"/>
      <x:c r="E2" s="16"/>
      <x:c r="F2" s="16"/>
    </x:row>
    <x:row r="3" ht="15" hidden="0">
      <x:c r="A3"/>
      <x:c r="B3"/>
      <x:c r="C3"/>
      <x:c r="D3"/>
      <x:c r="E3"/>
    </x:row>
    <x:row r="4" ht="30" hidden="0" customHeight="1">
      <x:c r="A4" s="25" t="str">
        <x:v>City</x:v>
      </x:c>
      <x:c r="B4" s="26" t="str">
        <x:f aca="0"/>
        <x:v>Wedding planner</x:v>
      </x:c>
      <x:c r="C4" s="26" t="str">
        <x:f aca="0"/>
        <x:v>Event planner / DMC</x:v>
      </x:c>
      <x:c r="D4" s="26" t="str">
        <x:f aca="0"/>
        <x:v>Entertainment agency</x:v>
      </x:c>
      <x:c r="E4" s="26" t="str">
        <x:f aca="0"/>
        <x:v>DJ / MC</x:v>
      </x:c>
      <x:c r="F4" s="27" t="str">
        <x:v>Total</x:v>
      </x:c>
    </x:row>
    <x:row r="5" ht="15" hidden="0">
      <x:c r="A5" s="47" t="str">
        <x:v>Nashville</x:v>
      </x:c>
      <x:c r="B5" s="69" t="n">
        <x:f aca="0">COUNTIFS('Outreach List'!$C$2:$C$1000,$A5,'Outreach List'!$B$2:$B$1000,B$4)</x:f>
        <x:v>8</x:v>
      </x:c>
      <x:c r="C5" s="69" t="n">
        <x:f aca="0">COUNTIFS('Outreach List'!$C$2:$C$1000,$A5,'Outreach List'!$B$2:$B$1000,C$4)</x:f>
        <x:v>7</x:v>
      </x:c>
      <x:c r="D5" s="69" t="n">
        <x:f aca="0">COUNTIFS('Outreach List'!$C$2:$C$1000,$A5,'Outreach List'!$B$2:$B$1000,D$4)</x:f>
        <x:v>5</x:v>
      </x:c>
      <x:c r="E5" s="69" t="n">
        <x:f aca="0">COUNTIFS('Outreach List'!$C$2:$C$1000,$A5,'Outreach List'!$B$2:$B$1000,E$4)</x:f>
        <x:v>0</x:v>
      </x:c>
      <x:c r="F5" s="70" t="n">
        <x:f>SUM(B5:E5)</x:f>
        <x:v>20</x:v>
      </x:c>
    </x:row>
    <x:row r="6" ht="15" hidden="0">
      <x:c r="A6" s="50" t="str">
        <x:v>Fort Worth</x:v>
      </x:c>
      <x:c r="B6" s="71" t="n">
        <x:f aca="0">COUNTIFS('Outreach List'!$C$2:$C$1000,$A6,'Outreach List'!$B$2:$B$1000,B$4)</x:f>
        <x:v>9</x:v>
      </x:c>
      <x:c r="C6" s="71" t="n">
        <x:f aca="0">COUNTIFS('Outreach List'!$C$2:$C$1000,$A6,'Outreach List'!$B$2:$B$1000,C$4)</x:f>
        <x:v>4</x:v>
      </x:c>
      <x:c r="D6" s="71" t="n">
        <x:f aca="0">COUNTIFS('Outreach List'!$C$2:$C$1000,$A6,'Outreach List'!$B$2:$B$1000,D$4)</x:f>
        <x:v>3</x:v>
      </x:c>
      <x:c r="E6" s="71" t="n">
        <x:f aca="0">COUNTIFS('Outreach List'!$C$2:$C$1000,$A6,'Outreach List'!$B$2:$B$1000,E$4)</x:f>
        <x:v>0</x:v>
      </x:c>
      <x:c r="F6" s="72" t="n">
        <x:f>SUM(B6:E6)</x:f>
        <x:v>16</x:v>
      </x:c>
    </x:row>
    <x:row r="7" ht="15" hidden="0">
      <x:c r="A7" s="50" t="str">
        <x:v>Austin</x:v>
      </x:c>
      <x:c r="B7" s="71" t="n">
        <x:f aca="0">COUNTIFS('Outreach List'!$C$2:$C$1000,$A7,'Outreach List'!$B$2:$B$1000,B$4)</x:f>
        <x:v>5</x:v>
      </x:c>
      <x:c r="C7" s="71" t="n">
        <x:f aca="0">COUNTIFS('Outreach List'!$C$2:$C$1000,$A7,'Outreach List'!$B$2:$B$1000,C$4)</x:f>
        <x:v>8</x:v>
      </x:c>
      <x:c r="D7" s="71" t="n">
        <x:f aca="0">COUNTIFS('Outreach List'!$C$2:$C$1000,$A7,'Outreach List'!$B$2:$B$1000,D$4)</x:f>
        <x:v>1</x:v>
      </x:c>
      <x:c r="E7" s="71" t="n">
        <x:f aca="0">COUNTIFS('Outreach List'!$C$2:$C$1000,$A7,'Outreach List'!$B$2:$B$1000,E$4)</x:f>
        <x:v>0</x:v>
      </x:c>
      <x:c r="F7" s="72" t="n">
        <x:f>SUM(B7:E7)</x:f>
        <x:v>14</x:v>
      </x:c>
    </x:row>
    <x:row r="8" ht="15" hidden="0">
      <x:c r="A8" s="50" t="str">
        <x:v>Dallas</x:v>
      </x:c>
      <x:c r="B8" s="71" t="n">
        <x:f aca="0">COUNTIFS('Outreach List'!$C$2:$C$1000,$A8,'Outreach List'!$B$2:$B$1000,B$4)</x:f>
        <x:v>3</x:v>
      </x:c>
      <x:c r="C8" s="71" t="n">
        <x:f aca="0">COUNTIFS('Outreach List'!$C$2:$C$1000,$A8,'Outreach List'!$B$2:$B$1000,C$4)</x:f>
        <x:v>8</x:v>
      </x:c>
      <x:c r="D8" s="71" t="n">
        <x:f aca="0">COUNTIFS('Outreach List'!$C$2:$C$1000,$A8,'Outreach List'!$B$2:$B$1000,D$4)</x:f>
        <x:v>4</x:v>
      </x:c>
      <x:c r="E8" s="71" t="n">
        <x:f aca="0">COUNTIFS('Outreach List'!$C$2:$C$1000,$A8,'Outreach List'!$B$2:$B$1000,E$4)</x:f>
        <x:v>0</x:v>
      </x:c>
      <x:c r="F8" s="72" t="n">
        <x:f>SUM(B8:E8)</x:f>
        <x:v>15</x:v>
      </x:c>
    </x:row>
    <x:row r="9" ht="15" hidden="0">
      <x:c r="A9" s="50" t="str">
        <x:v>Houston</x:v>
      </x:c>
      <x:c r="B9" s="71" t="n">
        <x:f aca="0">COUNTIFS('Outreach List'!$C$2:$C$1000,$A9,'Outreach List'!$B$2:$B$1000,B$4)</x:f>
        <x:v>4</x:v>
      </x:c>
      <x:c r="C9" s="71" t="n">
        <x:f aca="0">COUNTIFS('Outreach List'!$C$2:$C$1000,$A9,'Outreach List'!$B$2:$B$1000,C$4)</x:f>
        <x:v>4</x:v>
      </x:c>
      <x:c r="D9" s="71" t="n">
        <x:f aca="0">COUNTIFS('Outreach List'!$C$2:$C$1000,$A9,'Outreach List'!$B$2:$B$1000,D$4)</x:f>
        <x:v>7</x:v>
      </x:c>
      <x:c r="E9" s="71" t="n">
        <x:f aca="0">COUNTIFS('Outreach List'!$C$2:$C$1000,$A9,'Outreach List'!$B$2:$B$1000,E$4)</x:f>
        <x:v>0</x:v>
      </x:c>
      <x:c r="F9" s="72" t="n">
        <x:f>SUM(B9:E9)</x:f>
        <x:v>15</x:v>
      </x:c>
    </x:row>
    <x:row r="10" ht="15" hidden="0">
      <x:c r="A10" s="50" t="str">
        <x:v>San Francisco Bay Area</x:v>
      </x:c>
      <x:c r="B10" s="71" t="n">
        <x:f aca="0">COUNTIFS('Outreach List'!$C$2:$C$1000,$A10,'Outreach List'!$B$2:$B$1000,B$4)</x:f>
        <x:v>0</x:v>
      </x:c>
      <x:c r="C10" s="71" t="n">
        <x:f aca="0">COUNTIFS('Outreach List'!$C$2:$C$1000,$A10,'Outreach List'!$B$2:$B$1000,C$4)</x:f>
        <x:v>0</x:v>
      </x:c>
      <x:c r="D10" s="71" t="n">
        <x:f aca="0">COUNTIFS('Outreach List'!$C$2:$C$1000,$A10,'Outreach List'!$B$2:$B$1000,D$4)</x:f>
        <x:v>0</x:v>
      </x:c>
      <x:c r="E10" s="71" t="n">
        <x:f aca="0">COUNTIFS('Outreach List'!$C$2:$C$1000,$A10,'Outreach List'!$B$2:$B$1000,E$4)</x:f>
        <x:v>0</x:v>
      </x:c>
      <x:c r="F10" s="72" t="n">
        <x:f>SUM(B10:E10)</x:f>
        <x:v>0</x:v>
      </x:c>
    </x:row>
    <x:row r="11" ht="15" hidden="0">
      <x:c r="A11" s="50" t="str">
        <x:v>Phoenix</x:v>
      </x:c>
      <x:c r="B11" s="71" t="n">
        <x:f aca="0">COUNTIFS('Outreach List'!$C$2:$C$1000,$A11,'Outreach List'!$B$2:$B$1000,B$4)</x:f>
        <x:v>7</x:v>
      </x:c>
      <x:c r="C11" s="71" t="n">
        <x:f aca="0">COUNTIFS('Outreach List'!$C$2:$C$1000,$A11,'Outreach List'!$B$2:$B$1000,C$4)</x:f>
        <x:v>4</x:v>
      </x:c>
      <x:c r="D11" s="71" t="n">
        <x:f aca="0">COUNTIFS('Outreach List'!$C$2:$C$1000,$A11,'Outreach List'!$B$2:$B$1000,D$4)</x:f>
        <x:v>3</x:v>
      </x:c>
      <x:c r="E11" s="71" t="n">
        <x:f aca="0">COUNTIFS('Outreach List'!$C$2:$C$1000,$A11,'Outreach List'!$B$2:$B$1000,E$4)</x:f>
        <x:v>0</x:v>
      </x:c>
      <x:c r="F11" s="72" t="n">
        <x:f>SUM(B11:E11)</x:f>
        <x:v>14</x:v>
      </x:c>
    </x:row>
    <x:row r="12" ht="15" hidden="0">
      <x:c r="A12" s="50" t="str">
        <x:v>Atlanta</x:v>
      </x:c>
      <x:c r="B12" s="71" t="n">
        <x:f aca="0">COUNTIFS('Outreach List'!$C$2:$C$1000,$A12,'Outreach List'!$B$2:$B$1000,B$4)</x:f>
        <x:v>3</x:v>
      </x:c>
      <x:c r="C12" s="71" t="n">
        <x:f aca="0">COUNTIFS('Outreach List'!$C$2:$C$1000,$A12,'Outreach List'!$B$2:$B$1000,C$4)</x:f>
        <x:v>6</x:v>
      </x:c>
      <x:c r="D12" s="71" t="n">
        <x:f aca="0">COUNTIFS('Outreach List'!$C$2:$C$1000,$A12,'Outreach List'!$B$2:$B$1000,D$4)</x:f>
        <x:v>8</x:v>
      </x:c>
      <x:c r="E12" s="71" t="n">
        <x:f aca="0">COUNTIFS('Outreach List'!$C$2:$C$1000,$A12,'Outreach List'!$B$2:$B$1000,E$4)</x:f>
        <x:v>0</x:v>
      </x:c>
      <x:c r="F12" s="72" t="n">
        <x:f>SUM(B12:E12)</x:f>
        <x:v>17</x:v>
      </x:c>
    </x:row>
    <x:row r="13" ht="15" hidden="0">
      <x:c r="A13" s="50" t="str">
        <x:v>Charlotte</x:v>
      </x:c>
      <x:c r="B13" s="71" t="n">
        <x:f aca="0">COUNTIFS('Outreach List'!$C$2:$C$1000,$A13,'Outreach List'!$B$2:$B$1000,B$4)</x:f>
        <x:v>7</x:v>
      </x:c>
      <x:c r="C13" s="71" t="n">
        <x:f aca="0">COUNTIFS('Outreach List'!$C$2:$C$1000,$A13,'Outreach List'!$B$2:$B$1000,C$4)</x:f>
        <x:v>7</x:v>
      </x:c>
      <x:c r="D13" s="71" t="n">
        <x:f aca="0">COUNTIFS('Outreach List'!$C$2:$C$1000,$A13,'Outreach List'!$B$2:$B$1000,D$4)</x:f>
        <x:v>4</x:v>
      </x:c>
      <x:c r="E13" s="71" t="n">
        <x:f aca="0">COUNTIFS('Outreach List'!$C$2:$C$1000,$A13,'Outreach List'!$B$2:$B$1000,E$4)</x:f>
        <x:v>0</x:v>
      </x:c>
      <x:c r="F13" s="72" t="n">
        <x:f>SUM(B13:E13)</x:f>
        <x:v>18</x:v>
      </x:c>
    </x:row>
    <x:row r="14" ht="15" hidden="0">
      <x:c r="A14" s="50" t="str">
        <x:v>Las Vegas</x:v>
      </x:c>
      <x:c r="B14" s="71" t="n">
        <x:f aca="0">COUNTIFS('Outreach List'!$C$2:$C$1000,$A14,'Outreach List'!$B$2:$B$1000,B$4)</x:f>
        <x:v>3</x:v>
      </x:c>
      <x:c r="C14" s="71" t="n">
        <x:f aca="0">COUNTIFS('Outreach List'!$C$2:$C$1000,$A14,'Outreach List'!$B$2:$B$1000,C$4)</x:f>
        <x:v>9</x:v>
      </x:c>
      <x:c r="D14" s="71" t="n">
        <x:f aca="0">COUNTIFS('Outreach List'!$C$2:$C$1000,$A14,'Outreach List'!$B$2:$B$1000,D$4)</x:f>
        <x:v>1</x:v>
      </x:c>
      <x:c r="E14" s="71" t="n">
        <x:f aca="0">COUNTIFS('Outreach List'!$C$2:$C$1000,$A14,'Outreach List'!$B$2:$B$1000,E$4)</x:f>
        <x:v>0</x:v>
      </x:c>
      <x:c r="F14" s="72" t="n">
        <x:f>SUM(B14:E14)</x:f>
        <x:v>13</x:v>
      </x:c>
    </x:row>
    <x:row r="15">
      <x:c r="A15" s="62" t="str">
        <x:v>Launch total</x:v>
      </x:c>
      <x:c r="B15" s="73" t="n">
        <x:f>SUM(B5:B14)</x:f>
        <x:v>49</x:v>
      </x:c>
      <x:c r="C15" s="73" t="n">
        <x:f>SUM(C5:C14)</x:f>
        <x:v>57</x:v>
      </x:c>
      <x:c r="D15" s="73" t="n">
        <x:f>SUM(D5:D14)</x:f>
        <x:v>36</x:v>
      </x:c>
      <x:c r="E15" s="73" t="n">
        <x:f>SUM(E5:E14)</x:f>
        <x:v>0</x:v>
      </x:c>
      <x:c r="F15" s="73" t="n">
        <x:f>SUM(F5:F14)</x:f>
        <x:v>142</x:v>
      </x:c>
    </x:row>
    <x:row r="16" ht="15" hidden="0">
      <x:c r="A16"/>
    </x:row>
    <x:row r="17">
      <x:c r="A17" s="75" t="str">
        <x:v>Legacy Denver prospects still in the preserved list</x:v>
      </x:c>
      <x:c r="B17" s="75"/>
      <x:c r="C17" s="75"/>
      <x:c r="D17" s="75"/>
      <x:c r="E17" s="75"/>
      <x:c r="F17" s="75" t="n">
        <x:f>COUNTIF('Outreach List'!$C$2:$C$1000,"Denver")</x:f>
        <x:v>14</x:v>
      </x:c>
    </x:row>
    <x:row r="18">
      <x:c r="A18" s="16" t="str">
        <x:v>Next data task: research San Francisco Bay Area planners and ten DJs or MC companies in every launch market. Add verified organizations to Outreach List using category DJ / MC.</x:v>
      </x:c>
      <x:c r="B18" s="16"/>
      <x:c r="C18" s="16"/>
      <x:c r="D18" s="16"/>
      <x:c r="E18" s="16"/>
      <x:c r="F18" s="16"/>
    </x:row>
    <x:row r="19">
      <x:c r="A19" s="16"/>
      <x:c r="B19" s="16"/>
      <x:c r="C19" s="16"/>
      <x:c r="D19" s="16"/>
      <x:c r="E19" s="16"/>
      <x:c r="F19" s="16"/>
    </x:row>
  </x:sheetData>
  <x:mergeCells>
    <x:mergeCell ref="A1:F1"/>
    <x:mergeCell ref="A2:F2"/>
    <x:mergeCell ref="A17:E17"/>
    <x:mergeCell ref="A18:F19"/>
  </x:mergeCells>
  <x:pageMargins left="0.7" right="0.7" top="0.75" bottom="0.75" header="0.3" footer="0.3"/>
  <x:tableParts count="1">
    <x:tablePart xmlns:r="http://schemas.openxmlformats.org/officeDocument/2006/relationships" r:id="R979658cd0e714f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0" hidden="0" customWidth="1"/>
    <x:col min="4" max="4" width="12" hidden="0" customWidth="1"/>
    <x:col min="5" max="5" width="41" hidden="0" customWidth="1"/>
    <x:col min="6" max="6" width="43" hidden="0" customWidth="1"/>
    <x:col min="7" max="7" width="34" hidden="0" customWidth="1"/>
  </x:cols>
  <x:sheetData>
    <x:row r="1" ht="34" customHeight="1">
      <x:c r="A1" s="12" t="str">
        <x:v>Demand buyers, connectors, and advocates</x:v>
      </x:c>
      <x:c r="B1" s="12"/>
      <x:c r="C1" s="12"/>
      <x:c r="D1" s="12"/>
      <x:c r="E1" s="12"/>
      <x:c r="F1" s="12"/>
      <x:c r="G1" s="12"/>
    </x:row>
    <x:row r="2" ht="34" customHeight="1">
      <x:c r="A2" s="16" t="str">
        <x:v>Use the role and collaboration angle to personalize outreach. A contact can be a buyer, referrer, contributor, advocate, or several of these.</x:v>
      </x:c>
      <x:c r="B2" s="16"/>
      <x:c r="C2" s="16"/>
      <x:c r="D2" s="16"/>
      <x:c r="E2" s="16"/>
      <x:c r="F2" s="16"/>
      <x:c r="G2" s="16"/>
    </x:row>
    <x:row r="4" ht="30" customHeight="1">
      <x:c r="A4" s="25" t="str">
        <x:v>Priority</x:v>
      </x:c>
      <x:c r="B4" s="26" t="str">
        <x:v>Audience</x:v>
      </x:c>
      <x:c r="C4" s="26" t="str">
        <x:v>Role</x:v>
      </x:c>
      <x:c r="D4" s="26" t="str">
        <x:v>Direct buyer</x:v>
      </x:c>
      <x:c r="E4" s="26" t="str">
        <x:v>Why they are connected</x:v>
      </x:c>
      <x:c r="F4" s="26" t="str">
        <x:v>Collaboration angle</x:v>
      </x:c>
      <x:c r="G4" s="27" t="str">
        <x:v>First call to action</x:v>
      </x:c>
    </x:row>
    <x:row r="5" ht="26.399999618530273" hidden="0" customHeight="1">
      <x:c r="A5" s="47" t="str">
        <x:v>P1</x:v>
      </x:c>
      <x:c r="B5" s="48" t="str">
        <x:v>Mobile DJs and MCs</x:v>
      </x:c>
      <x:c r="C5" s="48" t="str">
        <x:v>Referrer, contributor</x:v>
      </x:c>
      <x:c r="D5" s="48" t="str">
        <x:v>No</x:v>
      </x:c>
      <x:c r="E5" s="48" t="str">
        <x:v>Repeat access to weddings, company events, private parties, fundraisers, and bar and bat mitzvahs</x:v>
      </x:c>
      <x:c r="F5" s="48" t="str">
        <x:v>Coordinate music and instruction, exchange relevant introductions, and create useful planning content</x:v>
      </x:c>
      <x:c r="G5" s="49" t="str">
        <x:v>Ask for a short conversation about the events they serve</x:v>
      </x:c>
    </x:row>
    <x:row r="6" ht="26.399999618530273" hidden="0" customHeight="1">
      <x:c r="A6" s="50" t="str">
        <x:v>P1</x:v>
      </x:c>
      <x:c r="B6" s="51" t="str">
        <x:v>Private and social event planners</x:v>
      </x:c>
      <x:c r="C6" s="51" t="str">
        <x:v>Buyer, referrer</x:v>
      </x:c>
      <x:c r="D6" s="51" t="str">
        <x:v>Yes</x:v>
      </x:c>
      <x:c r="E6" s="51" t="str">
        <x:v>Repeatedly choose entertainment for birthdays, anniversaries, reunions, and milestone events</x:v>
      </x:c>
      <x:c r="F6" s="51" t="str">
        <x:v>A dependable local activity with visible instructor profiles</x:v>
      </x:c>
      <x:c r="G6" s="52" t="str">
        <x:v>Ask what they need before recommending an instructor</x:v>
      </x:c>
    </x:row>
    <x:row r="7" ht="26.399999618530273" hidden="0" customHeight="1">
      <x:c r="A7" s="50" t="str">
        <x:v>P1</x:v>
      </x:c>
      <x:c r="B7" s="51" t="str">
        <x:v>Corporate event and experiential agencies</x:v>
      </x:c>
      <x:c r="C7" s="51" t="str">
        <x:v>Buyer, referrer</x:v>
      </x:c>
      <x:c r="D7" s="51" t="str">
        <x:v>Yes</x:v>
      </x:c>
      <x:c r="E7" s="51" t="str">
        <x:v>Manage recurring clients, larger budgets, offsites, conferences, and employee events</x:v>
      </x:c>
      <x:c r="F7" s="51" t="str">
        <x:v>A participatory experience that can fit the audience and run of show</x:v>
      </x:c>
      <x:c r="G7" s="52" t="str">
        <x:v>Offer a relevant city page and ask about an upcoming brief</x:v>
      </x:c>
    </x:row>
    <x:row r="8" ht="26.399999618530273" hidden="0" customHeight="1">
      <x:c r="A8" s="50" t="str">
        <x:v>P1</x:v>
      </x:c>
      <x:c r="B8" s="51" t="str">
        <x:v>Wedding and mitzvah planners</x:v>
      </x:c>
      <x:c r="C8" s="51" t="str">
        <x:v>Buyer, referrer</x:v>
      </x:c>
      <x:c r="D8" s="51" t="str">
        <x:v>Yes</x:v>
      </x:c>
      <x:c r="E8" s="51" t="str">
        <x:v>Coordinate multigenerational celebrations and the event timeline</x:v>
      </x:c>
      <x:c r="F8" s="51" t="str">
        <x:v>Beginner-friendly instruction that works with the DJ</x:v>
      </x:c>
      <x:c r="G8" s="52" t="str">
        <x:v>Ask for feedback on placement in the run of show</x:v>
      </x:c>
    </x:row>
    <x:row r="9" ht="15" hidden="0" customHeight="1">
      <x:c r="A9" s="50" t="str">
        <x:v>P1</x:v>
      </x:c>
      <x:c r="B9" s="51" t="str">
        <x:v>Destination management companies</x:v>
      </x:c>
      <x:c r="C9" s="51" t="str">
        <x:v>Buyer, referrer</x:v>
      </x:c>
      <x:c r="D9" s="51" t="str">
        <x:v>Yes</x:v>
      </x:c>
      <x:c r="E9" s="51" t="str">
        <x:v>Build local programs for visiting corporate groups</x:v>
      </x:c>
      <x:c r="F9" s="51" t="str">
        <x:v>A city-specific group activity that is easy to source</x:v>
      </x:c>
      <x:c r="G9" s="52" t="str">
        <x:v>Offer a local directory and planning checklist</x:v>
      </x:c>
    </x:row>
    <x:row r="10" ht="26.399999618530273" hidden="0" customHeight="1">
      <x:c r="A10" s="50" t="str">
        <x:v>P1</x:v>
      </x:c>
      <x:c r="B10" s="51" t="str">
        <x:v>Venue, hotel, resort, and catering sales</x:v>
      </x:c>
      <x:c r="C10" s="51" t="str">
        <x:v>Referrer</x:v>
      </x:c>
      <x:c r="D10" s="51" t="str">
        <x:v>Sometimes</x:v>
      </x:c>
      <x:c r="E10" s="51" t="str">
        <x:v>Clients ask for trusted vendors and activity ideas</x:v>
      </x:c>
      <x:c r="F10" s="51" t="str">
        <x:v>A useful local resource without making the venue manage the relationship</x:v>
      </x:c>
      <x:c r="G10" s="52" t="str">
        <x:v>Ask what vendor, sound, and insurance details are required</x:v>
      </x:c>
    </x:row>
    <x:row r="11" ht="26.399999618530273" hidden="0" customHeight="1">
      <x:c r="A11" s="50" t="str">
        <x:v>P1</x:v>
      </x:c>
      <x:c r="B11" s="51" t="str">
        <x:v>HR, People Operations, Workplace Experience, and Employee Experience</x:v>
      </x:c>
      <x:c r="C11" s="51" t="str">
        <x:v>Buyer</x:v>
      </x:c>
      <x:c r="D11" s="51" t="str">
        <x:v>Yes</x:v>
      </x:c>
      <x:c r="E11" s="51" t="str">
        <x:v>Plan employee celebrations, retreats, offsites, and culture programs</x:v>
      </x:c>
      <x:c r="F11" s="51" t="str">
        <x:v>An inclusive shared activity with no partner or prior experience required</x:v>
      </x:c>
      <x:c r="G11" s="52" t="str">
        <x:v>Offer a city page and help identify a local fit</x:v>
      </x:c>
    </x:row>
    <x:row r="12" ht="26.399999618530273" hidden="0" customHeight="1">
      <x:c r="A12" s="50" t="str">
        <x:v>P1</x:v>
      </x:c>
      <x:c r="B12" s="51" t="str">
        <x:v>Executive assistants, office managers, and event committees</x:v>
      </x:c>
      <x:c r="C12" s="51" t="str">
        <x:v>Buyer, advocate</x:v>
      </x:c>
      <x:c r="D12" s="51" t="str">
        <x:v>Yes</x:v>
      </x:c>
      <x:c r="E12" s="51" t="str">
        <x:v>Often own event planning even when events are not in their title</x:v>
      </x:c>
      <x:c r="F12" s="51" t="str">
        <x:v>A simple internal idea and ready-to-forward instructor link</x:v>
      </x:c>
      <x:c r="G12" s="52" t="str">
        <x:v>Ask who owns the next company event</x:v>
      </x:c>
    </x:row>
    <x:row r="13" ht="26.399999618530273" hidden="0" customHeight="1">
      <x:c r="A13" s="50" t="str">
        <x:v>P1</x:v>
      </x:c>
      <x:c r="B13" s="51" t="str">
        <x:v>Employees and employee resource group leaders</x:v>
      </x:c>
      <x:c r="C13" s="51" t="str">
        <x:v>Advocate</x:v>
      </x:c>
      <x:c r="D13" s="51" t="str">
        <x:v>No</x:v>
      </x:c>
      <x:c r="E13" s="51" t="str">
        <x:v>Can recommend an activity from the bottom up</x:v>
      </x:c>
      <x:c r="F13" s="51" t="str">
        <x:v>A copy-and-paste request and local instructor link</x:v>
      </x:c>
      <x:c r="G13" s="52" t="str">
        <x:v>Forward the idea to the person planning the next event</x:v>
      </x:c>
    </x:row>
    <x:row r="14" ht="15" hidden="0" customHeight="1">
      <x:c r="A14" s="50" t="str">
        <x:v>P2</x:v>
      </x:c>
      <x:c r="B14" s="51" t="str">
        <x:v>Entertainment and talent agencies</x:v>
      </x:c>
      <x:c r="C14" s="51" t="str">
        <x:v>Buyer, referrer</x:v>
      </x:c>
      <x:c r="D14" s="51" t="str">
        <x:v>Yes</x:v>
      </x:c>
      <x:c r="E14" s="51" t="str">
        <x:v>Book talent and maintain client relationships</x:v>
      </x:c>
      <x:c r="F14" s="51" t="str">
        <x:v>A new participatory category for suitable briefs</x:v>
      </x:c>
      <x:c r="G14" s="52" t="str">
        <x:v>Ask how they evaluate and onboard talent</x:v>
      </x:c>
    </x:row>
    <x:row r="15" ht="26.399999618530273" hidden="0" customHeight="1">
      <x:c r="A15" s="50" t="str">
        <x:v>P2</x:v>
      </x:c>
      <x:c r="B15" s="51" t="str">
        <x:v>Event production and AV companies</x:v>
      </x:c>
      <x:c r="C15" s="51" t="str">
        <x:v>Referrer, contributor</x:v>
      </x:c>
      <x:c r="D15" s="51" t="str">
        <x:v>Sometimes</x:v>
      </x:c>
      <x:c r="E15" s="51" t="str">
        <x:v>Work closely with planners, venues, sound, and schedules</x:v>
      </x:c>
      <x:c r="F15" s="51" t="str">
        <x:v>Clear sound, microphone, floor, and timing requirements</x:v>
      </x:c>
      <x:c r="G15" s="52" t="str">
        <x:v>Invite them to review the technical checklist</x:v>
      </x:c>
    </x:row>
    <x:row r="16" ht="26.399999618530273" hidden="0" customHeight="1">
      <x:c r="A16" s="50" t="str">
        <x:v>P2</x:v>
      </x:c>
      <x:c r="B16" s="51" t="str">
        <x:v>Country bars, dance halls, breweries, and music venues</x:v>
      </x:c>
      <x:c r="C16" s="51" t="str">
        <x:v>Buyer, referrer</x:v>
      </x:c>
      <x:c r="D16" s="51" t="str">
        <x:v>Yes</x:v>
      </x:c>
      <x:c r="E16" s="51" t="str">
        <x:v>Run recurring public programs and western-themed nights</x:v>
      </x:c>
      <x:c r="F16" s="51" t="str">
        <x:v>Recurring instruction, special-event support, and local discovery</x:v>
      </x:c>
      <x:c r="G16" s="52" t="str">
        <x:v>Ask about current programming and instructor gaps</x:v>
      </x:c>
    </x:row>
    <x:row r="17" ht="26.399999618530273" hidden="0" customHeight="1">
      <x:c r="A17" s="50" t="str">
        <x:v>P2</x:v>
      </x:c>
      <x:c r="B17" s="51" t="str">
        <x:v>Caterers, rentals, decor, photo booths, photographers, and videographers</x:v>
      </x:c>
      <x:c r="C17" s="51" t="str">
        <x:v>Referrer, contributor</x:v>
      </x:c>
      <x:c r="D17" s="51" t="str">
        <x:v>Sometimes</x:v>
      </x:c>
      <x:c r="E17" s="51" t="str">
        <x:v>See planners and clients across many event types</x:v>
      </x:c>
      <x:c r="F17" s="51" t="str">
        <x:v>Mutual introductions and permissioned event proof</x:v>
      </x:c>
      <x:c r="G17" s="52" t="str">
        <x:v>Ask which clients request interactive entertainment</x:v>
      </x:c>
    </x:row>
    <x:row r="18" ht="26.399999618530273" hidden="0" customHeight="1">
      <x:c r="A18" s="50" t="str">
        <x:v>P2</x:v>
      </x:c>
      <x:c r="B18" s="51" t="str">
        <x:v>Convention centers and conference service managers</x:v>
      </x:c>
      <x:c r="C18" s="51" t="str">
        <x:v>Referrer</x:v>
      </x:c>
      <x:c r="D18" s="51" t="str">
        <x:v>Sometimes</x:v>
      </x:c>
      <x:c r="E18" s="51" t="str">
        <x:v>Help organizers source vendors and shape event logistics</x:v>
      </x:c>
      <x:c r="F18" s="51" t="str">
        <x:v>A local activity directory with practical vendor requirements</x:v>
      </x:c>
      <x:c r="G18" s="52" t="str">
        <x:v>Ask what outside instructors need before arrival</x:v>
      </x:c>
    </x:row>
    <x:row r="19" ht="26.399999618530273" hidden="0" customHeight="1">
      <x:c r="A19" s="50" t="str">
        <x:v>P2</x:v>
      </x:c>
      <x:c r="B19" s="51" t="str">
        <x:v>Visitor bureaus, chambers, radio, newsletters, and local publications</x:v>
      </x:c>
      <x:c r="C19" s="51" t="str">
        <x:v>Referrer, contributor</x:v>
      </x:c>
      <x:c r="D19" s="51" t="str">
        <x:v>No</x:v>
      </x:c>
      <x:c r="E19" s="51" t="str">
        <x:v>Reach local visitors, businesses, and event audiences</x:v>
      </x:c>
      <x:c r="F19" s="51" t="str">
        <x:v>Useful city guides, original data, and instructor stories</x:v>
      </x:c>
      <x:c r="G19" s="52" t="str">
        <x:v>Pitch one relevant local resource</x:v>
      </x:c>
    </x:row>
    <x:row r="20" ht="26.399999618530273" hidden="0" customHeight="1">
      <x:c r="A20" s="50" t="str">
        <x:v>P2</x:v>
      </x:c>
      <x:c r="B20" s="51" t="str">
        <x:v>Nonprofit development teams and fundraiser producers</x:v>
      </x:c>
      <x:c r="C20" s="51" t="str">
        <x:v>Buyer, referrer</x:v>
      </x:c>
      <x:c r="D20" s="51" t="str">
        <x:v>Yes</x:v>
      </x:c>
      <x:c r="E20" s="51" t="str">
        <x:v>Plan galas, benefits, and community fundraisers</x:v>
      </x:c>
      <x:c r="F20" s="51" t="str">
        <x:v>An inclusive activity that creates energy around the cause</x:v>
      </x:c>
      <x:c r="G20" s="52" t="str">
        <x:v>Ask about the next fundraiser format</x:v>
      </x:c>
    </x:row>
    <x:row r="21" ht="26.399999618530273" hidden="0" customHeight="1">
      <x:c r="A21" s="50" t="str">
        <x:v>P2</x:v>
      </x:c>
      <x:c r="B21" s="51" t="str">
        <x:v>Synagogues, JCCs, and youth directors</x:v>
      </x:c>
      <x:c r="C21" s="51" t="str">
        <x:v>Buyer, referrer</x:v>
      </x:c>
      <x:c r="D21" s="51" t="str">
        <x:v>Yes</x:v>
      </x:c>
      <x:c r="E21" s="51" t="str">
        <x:v>Support bar and bat mitzvahs, youth groups, and community programming</x:v>
      </x:c>
      <x:c r="F21" s="51" t="str">
        <x:v>Multigenerational instruction and youth-friendly programs</x:v>
      </x:c>
      <x:c r="G21" s="52" t="str">
        <x:v>Ask about program requirements and vendor policies</x:v>
      </x:c>
    </x:row>
    <x:row r="22" ht="26.399999618530273" hidden="0" customHeight="1">
      <x:c r="A22" s="50" t="str">
        <x:v>P2</x:v>
      </x:c>
      <x:c r="B22" s="51" t="str">
        <x:v>Summer camps and after-school programs</x:v>
      </x:c>
      <x:c r="C22" s="51" t="str">
        <x:v>Buyer</x:v>
      </x:c>
      <x:c r="D22" s="51" t="str">
        <x:v>Yes</x:v>
      </x:c>
      <x:c r="E22" s="51" t="str">
        <x:v>Need active group programming for young people</x:v>
      </x:c>
      <x:c r="F22" s="51" t="str">
        <x:v>Screen-free movement adapted to age, schedule, and group size</x:v>
      </x:c>
      <x:c r="G22" s="52" t="str">
        <x:v>Ask about age groups, session length, and safeguarding rules</x:v>
      </x:c>
    </x:row>
    <x:row r="23" ht="26.399999618530273" hidden="0" customHeight="1">
      <x:c r="A23" s="50" t="str">
        <x:v>P2</x:v>
      </x:c>
      <x:c r="B23" s="51" t="str">
        <x:v>Parks, recreation, community, and senior centers</x:v>
      </x:c>
      <x:c r="C23" s="51" t="str">
        <x:v>Buyer, referrer</x:v>
      </x:c>
      <x:c r="D23" s="51" t="str">
        <x:v>Yes</x:v>
      </x:c>
      <x:c r="E23" s="51" t="str">
        <x:v>Run accessible public programs and local activities</x:v>
      </x:c>
      <x:c r="F23" s="51" t="str">
        <x:v>Beginner-friendly one-time or recurring instruction</x:v>
      </x:c>
      <x:c r="G23" s="52" t="str">
        <x:v>Ask about program calendars and instructor requirements</x:v>
      </x:c>
    </x:row>
    <x:row r="24" ht="26.399999618530273" hidden="0" customHeight="1">
      <x:c r="A24" s="50" t="str">
        <x:v>P2</x:v>
      </x:c>
      <x:c r="B24" s="51" t="str">
        <x:v>Fitness studios, gyms, and wellness programs</x:v>
      </x:c>
      <x:c r="C24" s="51" t="str">
        <x:v>Buyer</x:v>
      </x:c>
      <x:c r="D24" s="51" t="str">
        <x:v>Yes</x:v>
      </x:c>
      <x:c r="E24" s="51" t="str">
        <x:v>Can offer recurring social fitness classes</x:v>
      </x:c>
      <x:c r="F24" s="51" t="str">
        <x:v>Music-driven movement with clear instruction and community value</x:v>
      </x:c>
      <x:c r="G24" s="52" t="str">
        <x:v>Ask about a pilot class or recurring slot</x:v>
      </x:c>
    </x:row>
    <x:row r="25" ht="26.399999618530273" hidden="0" customHeight="1">
      <x:c r="A25" s="50" t="str">
        <x:v>P2</x:v>
      </x:c>
      <x:c r="B25" s="51" t="str">
        <x:v>School PTO and PTA groups and college student activities</x:v>
      </x:c>
      <x:c r="C25" s="51" t="str">
        <x:v>Buyer, advocate</x:v>
      </x:c>
      <x:c r="D25" s="51" t="str">
        <x:v>Yes</x:v>
      </x:c>
      <x:c r="E25" s="51" t="str">
        <x:v>Plan enrichment, family events, and campus programs</x:v>
      </x:c>
      <x:c r="F25" s="51" t="str">
        <x:v>An all-level group activity with flexible music and timing</x:v>
      </x:c>
      <x:c r="G25" s="52" t="str">
        <x:v>Ask about the next program cycle</x:v>
      </x:c>
    </x:row>
    <x:row r="26" ht="26.399999618530273" hidden="0" customHeight="1">
      <x:c r="A26" s="50" t="str">
        <x:v>P3</x:v>
      </x:c>
      <x:c r="B26" s="51" t="str">
        <x:v>Apartment and resident-experience managers</x:v>
      </x:c>
      <x:c r="C26" s="51" t="str">
        <x:v>Buyer</x:v>
      </x:c>
      <x:c r="D26" s="51" t="str">
        <x:v>Yes</x:v>
      </x:c>
      <x:c r="E26" s="51" t="str">
        <x:v>Plan resident events and community-building programs</x:v>
      </x:c>
      <x:c r="F26" s="51" t="str">
        <x:v>A social activity that brings residents together</x:v>
      </x:c>
      <x:c r="G26" s="52" t="str">
        <x:v>Offer a local instructor profile</x:v>
      </x:c>
    </x:row>
    <x:row r="27" ht="26.399999618530273" hidden="0" customHeight="1">
      <x:c r="A27" s="53" t="str">
        <x:v>P3</x:v>
      </x:c>
      <x:c r="B27" s="54" t="str">
        <x:v>Resort, cruise, festival, and guest-activity teams</x:v>
      </x:c>
      <x:c r="C27" s="54" t="str">
        <x:v>Buyer, referrer</x:v>
      </x:c>
      <x:c r="D27" s="54" t="str">
        <x:v>Yes</x:v>
      </x:c>
      <x:c r="E27" s="54" t="str">
        <x:v>Program repeat guest experiences</x:v>
      </x:c>
      <x:c r="F27" s="54" t="str">
        <x:v>A scalable activity for visitors and mixed groups</x:v>
      </x:c>
      <x:c r="G27" s="55" t="str">
        <x:v>Ask about seasonal programming and vendor onboarding</x:v>
      </x:c>
    </x:row>
  </x:sheetData>
  <x:mergeCells>
    <x:mergeCell ref="A1:G1"/>
    <x:mergeCell ref="A2:G2"/>
  </x:mergeCells>
  <x:conditionalFormatting sqref="A5:A27">
    <x:cfRule type="containsText" dxfId="5" priority="1" operator="containsText" text="P1"/>
    <x:cfRule type="containsText" dxfId="6" priority="2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eb826037ae5f48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40" hidden="0" customWidth="1"/>
    <x:col min="4" max="4" width="27" hidden="0" customWidth="1"/>
    <x:col min="5" max="5" width="29" hidden="0" customWidth="1"/>
    <x:col min="6" max="6" width="42" hidden="0" customWidth="1"/>
    <x:col min="7" max="7" width="56" hidden="0" customWidth="1"/>
  </x:cols>
  <x:sheetData>
    <x:row r="1" ht="34" customHeight="1">
      <x:c r="A1" s="12" t="str">
        <x:v>Lean outreach tools and operating workflow</x:v>
      </x:c>
      <x:c r="B1" s="12"/>
      <x:c r="C1" s="12"/>
      <x:c r="D1" s="12"/>
      <x:c r="E1" s="12"/>
      <x:c r="F1" s="12"/>
      <x:c r="G1" s="12"/>
    </x:row>
    <x:row r="2" ht="34" customHeight="1">
      <x:c r="A2" s="16" t="str">
        <x:v>Start with the smallest stack. Add automation only after a manual ten-city pilot shows a repeatable workflow and a real bottleneck.</x:v>
      </x:c>
      <x:c r="B2" s="16"/>
      <x:c r="C2" s="16"/>
      <x:c r="D2" s="16"/>
      <x:c r="E2" s="16"/>
      <x:c r="F2" s="16"/>
      <x:c r="G2" s="16"/>
    </x:row>
    <x:row r="4">
      <x:c r="A4" s="78" t="str">
        <x:v>Expected monthly pilot software cost</x:v>
      </x:c>
      <x:c r="B4" s="79"/>
      <x:c r="C4" s="79"/>
      <x:c r="D4" s="81" t="n">
        <x:f>SUMIF(A8:A16,"Start",D8:D16)</x:f>
        <x:v>7</x:v>
      </x:c>
    </x:row>
    <x:row r="7" ht="30" customHeight="1">
      <x:c r="A7" s="25" t="str">
        <x:v>Tier</x:v>
      </x:c>
      <x:c r="B7" s="26" t="str">
        <x:v>Tool</x:v>
      </x:c>
      <x:c r="C7" s="26" t="str">
        <x:v>Use</x:v>
      </x:c>
      <x:c r="D7" s="26" t="str">
        <x:v>Monthly pilot cost</x:v>
      </x:c>
      <x:c r="E7" s="26" t="str">
        <x:v>Start when</x:v>
      </x:c>
      <x:c r="F7" s="26" t="str">
        <x:v>Constraint or trigger</x:v>
      </x:c>
      <x:c r="G7" s="27" t="str">
        <x:v>Official source</x:v>
      </x:c>
    </x:row>
    <x:row r="8" ht="15" hidden="0" customHeight="1">
      <x:c r="A8" s="47" t="str">
        <x:v>Start</x:v>
      </x:c>
      <x:c r="B8" s="48" t="str">
        <x:v>Google Workspace Business Starter</x:v>
      </x:c>
      <x:c r="C8" s="48" t="str">
        <x:v>Branded inbox, calendar, and shared documents</x:v>
      </x:c>
      <x:c r="D8" s="82" t="n">
        <x:v>7</x:v>
      </x:c>
      <x:c r="E8" s="48" t="str">
        <x:v>Before outreach</x:v>
      </x:c>
      <x:c r="F8" s="48" t="str">
        <x:v>Authenticate the domain with SPF, DKIM, and DMARC</x:v>
      </x:c>
      <x:c r="G8" s="49" t="str">
        <x:v>https://workspace.google.com/pricing</x:v>
      </x:c>
    </x:row>
    <x:row r="9" ht="26.399999618530273" hidden="0" customHeight="1">
      <x:c r="A9" s="50" t="str">
        <x:v>Start</x:v>
      </x:c>
      <x:c r="B9" s="51" t="str">
        <x:v>HubSpot Free CRM</x:v>
      </x:c>
      <x:c r="C9" s="51" t="str">
        <x:v>Contact database, pipeline, tasks, source tracking, and opt-outs</x:v>
      </x:c>
      <x:c r="D9" s="83" t="n">
        <x:v>0</x:v>
      </x:c>
      <x:c r="E9" s="51" t="str">
        <x:v>Before list building</x:v>
      </x:c>
      <x:c r="F9" s="51" t="str">
        <x:v>Use individual outreach for cold contacts, not marketing email</x:v>
      </x:c>
      <x:c r="G9" s="52" t="str">
        <x:v>https://www.hubspot.com/pricing/crm</x:v>
      </x:c>
    </x:row>
    <x:row r="10" ht="26.399999618530273" hidden="0" customHeight="1">
      <x:c r="A10" s="50" t="str">
        <x:v>Start</x:v>
      </x:c>
      <x:c r="B10" s="51" t="str">
        <x:v>Hunter Free</x:v>
      </x:c>
      <x:c r="C10" s="51" t="str">
        <x:v>Find and verify public professional emails and run careful sequences</x:v>
      </x:c>
      <x:c r="D10" s="83" t="n">
        <x:v>0</x:v>
      </x:c>
      <x:c r="E10" s="51" t="str">
        <x:v>During first research sprint</x:v>
      </x:c>
      <x:c r="F10" s="51" t="str">
        <x:v>Free credits are limited. Keep first contacts individually reviewed</x:v>
      </x:c>
      <x:c r="G10" s="52" t="str">
        <x:v>https://hunter.io/pricing</x:v>
      </x:c>
    </x:row>
    <x:row r="11" ht="26.399999618530273" hidden="0" customHeight="1">
      <x:c r="A11" s="50" t="str">
        <x:v>Start</x:v>
      </x:c>
      <x:c r="B11" s="51" t="str">
        <x:v>Canva Free</x:v>
      </x:c>
      <x:c r="C11" s="51" t="str">
        <x:v>Instructor graphics, vertical video covers, stories, and partner one-sheets</x:v>
      </x:c>
      <x:c r="D11" s="83" t="n">
        <x:v>0</x:v>
      </x:c>
      <x:c r="E11" s="51" t="str">
        <x:v>First real profile launch</x:v>
      </x:c>
      <x:c r="F11" s="51" t="str">
        <x:v>Create reusable templates, but keep the instructor as the main character</x:v>
      </x:c>
      <x:c r="G11" s="52" t="str">
        <x:v>https://www.canva.com/pricing</x:v>
      </x:c>
    </x:row>
    <x:row r="12" ht="26.399999618530273" hidden="0" customHeight="1">
      <x:c r="A12" s="50" t="str">
        <x:v>Start</x:v>
      </x:c>
      <x:c r="B12" s="51" t="str">
        <x:v>Buffer Free</x:v>
      </x:c>
      <x:c r="C12" s="51" t="str">
        <x:v>Schedule platform reposts and a small content calendar</x:v>
      </x:c>
      <x:c r="D12" s="83" t="n">
        <x:v>0</x:v>
      </x:c>
      <x:c r="E12" s="51" t="str">
        <x:v>When instructor content begins</x:v>
      </x:c>
      <x:c r="F12" s="51" t="str">
        <x:v>Free queue and channel limits are sufficient for the pilot</x:v>
      </x:c>
      <x:c r="G12" s="52" t="str">
        <x:v>https://buffer.com/pricing</x:v>
      </x:c>
    </x:row>
    <x:row r="13" ht="26.399999618530273" hidden="0" customHeight="1">
      <x:c r="A13" s="50" t="str">
        <x:v>Start</x:v>
      </x:c>
      <x:c r="B13" s="51" t="str">
        <x:v>Make Free</x:v>
      </x:c>
      <x:c r="C13" s="51" t="str">
        <x:v>Connect forms, CRM updates, content records, and follow-up tasks</x:v>
      </x:c>
      <x:c r="D13" s="83" t="n">
        <x:v>0</x:v>
      </x:c>
      <x:c r="E13" s="51" t="str">
        <x:v>Only after the manual workflow works</x:v>
      </x:c>
      <x:c r="F13" s="51" t="str">
        <x:v>Do not automate a process that has not been proven manually</x:v>
      </x:c>
      <x:c r="G13" s="52" t="str">
        <x:v>https://www.make.com/en/pricing</x:v>
      </x:c>
    </x:row>
    <x:row r="14" ht="26.399999618530273" hidden="0" customHeight="1">
      <x:c r="A14" s="50" t="str">
        <x:v>Sprint</x:v>
      </x:c>
      <x:c r="B14" s="51" t="str">
        <x:v>Hunter Starter</x:v>
      </x:c>
      <x:c r="C14" s="51" t="str">
        <x:v>One focused ten-city email discovery and verification sprint</x:v>
      </x:c>
      <x:c r="D14" s="83" t="n">
        <x:v>49</x:v>
      </x:c>
      <x:c r="E14" s="51" t="str">
        <x:v>Only when Free becomes the bottleneck</x:v>
      </x:c>
      <x:c r="F14" s="51" t="str">
        <x:v>Use month to month and cancel after the list-building sprint</x:v>
      </x:c>
      <x:c r="G14" s="52" t="str">
        <x:v>https://hunter.io/pricing</x:v>
      </x:c>
    </x:row>
    <x:row r="15" ht="26.399999618530273" hidden="0" customHeight="1">
      <x:c r="A15" s="50" t="str">
        <x:v>Later</x:v>
      </x:c>
      <x:c r="B15" s="51" t="str">
        <x:v>Apollo Basic</x:v>
      </x:c>
      <x:c r="C15" s="51" t="str">
        <x:v>Corporate role discovery and additional prospecting data</x:v>
      </x:c>
      <x:c r="D15" s="83" t="n">
        <x:v>49</x:v>
      </x:c>
      <x:c r="E15" s="51" t="str">
        <x:v>Only if corporate titles are the bottleneck</x:v>
      </x:c>
      <x:c r="F15" s="51" t="str">
        <x:v>Do not pay for Apollo and Hunter at the same time during the pilot</x:v>
      </x:c>
      <x:c r="G15" s="52" t="str">
        <x:v>https://www.apollo.io/insights/best-prospecting-tool-with-flexible-pricing</x:v>
      </x:c>
    </x:row>
    <x:row r="16" ht="15" hidden="0" customHeight="1">
      <x:c r="A16" s="53" t="str">
        <x:v>Later</x:v>
      </x:c>
      <x:c r="B16" s="54" t="str">
        <x:v>LinkedIn Sales Navigator</x:v>
      </x:c>
      <x:c r="C16" s="54" t="str">
        <x:v>Advanced corporate title and account research</x:v>
      </x:c>
      <x:c r="D16" s="84" t="n">
        <x:v>119.99</x:v>
      </x:c>
      <x:c r="E16" s="54" t="str">
        <x:v>Only after corporate outreach converts</x:v>
      </x:c>
      <x:c r="F16" s="54" t="str">
        <x:v>Keep messages and connection activity manual</x:v>
      </x:c>
      <x:c r="G16" s="55" t="str">
        <x:v>https://business.linkedin.com/sell/sales-navigator/compare-plans</x:v>
      </x:c>
    </x:row>
    <x:row r="19">
      <x:c r="A19" s="11" t="str">
        <x:v>Pipeline stages</x:v>
      </x:c>
      <x:c r="B19" s="11"/>
      <x:c r="C19" s="11"/>
      <x:c r="D19" s="11"/>
    </x:row>
    <x:row r="20" ht="30" customHeight="1">
      <x:c r="A20" s="25" t="str">
        <x:v>Stage</x:v>
      </x:c>
      <x:c r="B20" s="26" t="str">
        <x:v>Meaning</x:v>
      </x:c>
      <x:c r="C20" s="26" t="str">
        <x:v>Exit condition</x:v>
      </x:c>
      <x:c r="D20" s="27" t="str">
        <x:v>Automation rule</x:v>
      </x:c>
    </x:row>
    <x:row r="21" ht="26.399999618530273" hidden="0" customHeight="1">
      <x:c r="A21" s="47" t="str">
        <x:v>Researched</x:v>
      </x:c>
      <x:c r="B21" s="48" t="str">
        <x:v>Organization verified on its official website</x:v>
      </x:c>
      <x:c r="C21" s="48" t="str">
        <x:v>Relevant contact and source captured</x:v>
      </x:c>
      <x:c r="D21" s="49" t="str">
        <x:v>None</x:v>
      </x:c>
    </x:row>
    <x:row r="22" ht="26.399999618530273" hidden="0" customHeight="1">
      <x:c r="A22" s="50" t="str">
        <x:v>Ready</x:v>
      </x:c>
      <x:c r="B22" s="51" t="str">
        <x:v>Personalization and channel are complete</x:v>
      </x:c>
      <x:c r="C22" s="51" t="str">
        <x:v>Human approves first contact</x:v>
      </x:c>
      <x:c r="D22" s="52" t="str">
        <x:v>Draft only</x:v>
      </x:c>
    </x:row>
    <x:row r="23" ht="15" hidden="0" customHeight="1">
      <x:c r="A23" s="50" t="str">
        <x:v>First contact</x:v>
      </x:c>
      <x:c r="B23" s="51" t="str">
        <x:v>One individualized introduction sent</x:v>
      </x:c>
      <x:c r="C23" s="51" t="str">
        <x:v>Reply or day 6 follow-up</x:v>
      </x:c>
      <x:c r="D23" s="52" t="str">
        <x:v>Create follow-up task</x:v>
      </x:c>
    </x:row>
    <x:row r="24" ht="15" hidden="0" customHeight="1">
      <x:c r="A24" s="50" t="str">
        <x:v>Follow-up</x:v>
      </x:c>
      <x:c r="B24" s="51" t="str">
        <x:v>At most two useful follow-ups</x:v>
      </x:c>
      <x:c r="C24" s="51" t="str">
        <x:v>Reply, not now, or day 13 close</x:v>
      </x:c>
      <x:c r="D24" s="52" t="str">
        <x:v>Suppress on any reply</x:v>
      </x:c>
    </x:row>
    <x:row r="25" ht="15" hidden="0" customHeight="1">
      <x:c r="A25" s="50" t="str">
        <x:v>Replied</x:v>
      </x:c>
      <x:c r="B25" s="51" t="str">
        <x:v>Contact responded</x:v>
      </x:c>
      <x:c r="C25" s="51" t="str">
        <x:v>Meeting, active partner, or not now</x:v>
      </x:c>
      <x:c r="D25" s="52" t="str">
        <x:v>Stop sequence</x:v>
      </x:c>
    </x:row>
    <x:row r="26" ht="15" hidden="0" customHeight="1">
      <x:c r="A26" s="50" t="str">
        <x:v>Meeting</x:v>
      </x:c>
      <x:c r="B26" s="51" t="str">
        <x:v>A relevant conversation is scheduled</x:v>
      </x:c>
      <x:c r="C26" s="51" t="str">
        <x:v>Defined next action</x:v>
      </x:c>
      <x:c r="D26" s="52" t="str">
        <x:v>Reminder only</x:v>
      </x:c>
    </x:row>
    <x:row r="27" ht="26.399999618530273" hidden="0" customHeight="1">
      <x:c r="A27" s="50" t="str">
        <x:v>Active partner</x:v>
      </x:c>
      <x:c r="B27" s="51" t="str">
        <x:v>Partner will refer, collaborate, or share a resource</x:v>
      </x:c>
      <x:c r="C27" s="51" t="str">
        <x:v>Track activity and outcomes</x:v>
      </x:c>
      <x:c r="D27" s="52" t="str">
        <x:v>Monthly check-in task</x:v>
      </x:c>
    </x:row>
    <x:row r="28" ht="15" hidden="0" customHeight="1">
      <x:c r="A28" s="50" t="str">
        <x:v>Not now</x:v>
      </x:c>
      <x:c r="B28" s="51" t="str">
        <x:v>Relevant, but timing is wrong</x:v>
      </x:c>
      <x:c r="C28" s="51" t="str">
        <x:v>Future date agreed</x:v>
      </x:c>
      <x:c r="D28" s="52" t="str">
        <x:v>Create dated reminder</x:v>
      </x:c>
    </x:row>
    <x:row r="29" ht="15" hidden="0" customHeight="1">
      <x:c r="A29" s="53" t="str">
        <x:v>Do not contact</x:v>
      </x:c>
      <x:c r="B29" s="54" t="str">
        <x:v>Opt-out or clear lack of relevance</x:v>
      </x:c>
      <x:c r="C29" s="54" t="str">
        <x:v>Permanent suppression</x:v>
      </x:c>
      <x:c r="D29" s="55" t="str">
        <x:v>Block all outreach</x:v>
      </x:c>
    </x:row>
    <x:row r="32">
      <x:c r="A32" s="11" t="str">
        <x:v>Weekly operating rhythm</x:v>
      </x:c>
      <x:c r="B32" s="11"/>
      <x:c r="C32" s="11"/>
      <x:c r="D32" s="11"/>
    </x:row>
    <x:row r="33" ht="30" customHeight="1">
      <x:c r="A33" s="25" t="str">
        <x:v>Step</x:v>
      </x:c>
      <x:c r="B33" s="26" t="str">
        <x:v>Phase</x:v>
      </x:c>
      <x:c r="C33" s="26" t="str">
        <x:v>Action</x:v>
      </x:c>
      <x:c r="D33" s="27" t="str">
        <x:v>Quality gate</x:v>
      </x:c>
    </x:row>
    <x:row r="34" ht="26.399999618530273" hidden="0" customHeight="1">
      <x:c r="A34" s="47" t="n">
        <x:v>1</x:v>
      </x:c>
      <x:c r="B34" s="48" t="str">
        <x:v>Research</x:v>
      </x:c>
      <x:c r="C34" s="48" t="str">
        <x:v>Find 25 high-fit organizations in one market and verify each on its own website</x:v>
      </x:c>
      <x:c r="D34" s="49" t="str">
        <x:v>Source URL and personalization recorded</x:v>
      </x:c>
    </x:row>
    <x:row r="35" ht="26.399999618530273" hidden="0" customHeight="1">
      <x:c r="A35" s="50" t="n">
        <x:v>2</x:v>
      </x:c>
      <x:c r="B35" s="51" t="str">
        <x:v>Prepare</x:v>
      </x:c>
      <x:c r="C35" s="51" t="str">
        <x:v>Verify the public business email and have an agent draft a personalized message</x:v>
      </x:c>
      <x:c r="D35" s="52" t="str">
        <x:v>Human approval before first send</x:v>
      </x:c>
    </x:row>
    <x:row r="36" ht="26.399999618530273" hidden="0" customHeight="1">
      <x:c r="A36" s="50" t="n">
        <x:v>3</x:v>
      </x:c>
      <x:c r="B36" s="51" t="str">
        <x:v>Contact</x:v>
      </x:c>
      <x:c r="C36" s="51" t="str">
        <x:v>Send one introduction and at most two useful follow-ups around days 6 and 13</x:v>
      </x:c>
      <x:c r="D36" s="52" t="str">
        <x:v>Stop immediately on reply or opt-out</x:v>
      </x:c>
    </x:row>
    <x:row r="37" ht="26.399999618530273" hidden="0" customHeight="1">
      <x:c r="A37" s="50" t="n">
        <x:v>4</x:v>
      </x:c>
      <x:c r="B37" s="51" t="str">
        <x:v>Collaborate</x:v>
      </x:c>
      <x:c r="C37" s="51" t="str">
        <x:v>Give interested partners one useful asset and a trackable link</x:v>
      </x:c>
      <x:c r="D37" s="52" t="str">
        <x:v>Clear next action and partner code</x:v>
      </x:c>
    </x:row>
    <x:row r="38" ht="26.399999618530273" hidden="0" customHeight="1">
      <x:c r="A38" s="53" t="n">
        <x:v>5</x:v>
      </x:c>
      <x:c r="B38" s="54" t="str">
        <x:v>Measure</x:v>
      </x:c>
      <x:c r="C38" s="54" t="str">
        <x:v>Review replies, inquiries, and bookings by city and audience before adding volume</x:v>
      </x:c>
      <x:c r="D38" s="55" t="str">
        <x:v>Repeat only the strongest combinations</x:v>
      </x:c>
    </x:row>
  </x:sheetData>
  <x:mergeCells>
    <x:mergeCell ref="A1:G1"/>
    <x:mergeCell ref="A2:G2"/>
    <x:mergeCell ref="A4:C4"/>
    <x:mergeCell ref="A19:D19"/>
    <x:mergeCell ref="A32:D32"/>
  </x:mergeCells>
  <x:pageMargins left="0.7" right="0.7" top="0.75" bottom="0.75" header="0.3" footer="0.3"/>
  <x:tableParts count="3">
    <x:tablePart xmlns:r="http://schemas.openxmlformats.org/officeDocument/2006/relationships" r:id="Rc4b0d4949ba44e0e"/>
    <x:tablePart xmlns:r="http://schemas.openxmlformats.org/officeDocument/2006/relationships" r:id="R901d32f5c1744045"/>
    <x:tablePart xmlns:r="http://schemas.openxmlformats.org/officeDocument/2006/relationships" r:id="R0a54bb5ed5cc4f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7" hidden="0" customWidth="1"/>
    <x:col min="3" max="3" width="12" hidden="0" customWidth="1"/>
    <x:col min="4" max="4" width="38" hidden="0" customWidth="1"/>
    <x:col min="5" max="5" width="43" hidden="0" customWidth="1"/>
    <x:col min="6" max="6" width="35" hidden="0" customWidth="1"/>
    <x:col min="7" max="7" width="30" hidden="0" customWidth="1"/>
    <x:col min="8" max="8" width="23" hidden="0" customWidth="1"/>
    <x:col min="9" max="9" width="24" hidden="0" customWidth="1"/>
  </x:cols>
  <x:sheetData>
    <x:row r="1" ht="34" customHeight="1">
      <x:c r="A1" s="12" t="str">
        <x:v>Instructor-led content formats</x:v>
      </x:c>
      <x:c r="B1" s="12"/>
      <x:c r="C1" s="12"/>
      <x:c r="D1" s="12"/>
      <x:c r="E1" s="12"/>
      <x:c r="F1" s="12"/>
      <x:c r="G1" s="12"/>
      <x:c r="H1" s="12"/>
      <x:c r="I1" s="12"/>
    </x:row>
    <x:row r="2" ht="34" customHeight="1">
      <x:c r="A2" s="16" t="str">
        <x:v>The instructor is the main character. Every asset should generate local interest, invite a referral upward, show beginner-friendly proof, or help a non-local viewer find another instructor.</x:v>
      </x:c>
      <x:c r="B2" s="16"/>
      <x:c r="C2" s="16"/>
      <x:c r="D2" s="16"/>
      <x:c r="E2" s="16"/>
      <x:c r="F2" s="16"/>
      <x:c r="G2" s="16"/>
      <x:c r="H2" s="16"/>
      <x:c r="I2" s="16"/>
    </x:row>
    <x:row r="4" ht="30" customHeight="1">
      <x:c r="A4" s="25" t="str">
        <x:v>Format</x:v>
      </x:c>
      <x:c r="B4" s="26" t="str">
        <x:v>Goal</x:v>
      </x:c>
      <x:c r="C4" s="26" t="str">
        <x:v>Length</x:v>
      </x:c>
      <x:c r="D4" s="26" t="str">
        <x:v>Hook</x:v>
      </x:c>
      <x:c r="E4" s="26" t="str">
        <x:v>Proof and B-roll</x:v>
      </x:c>
      <x:c r="F4" s="26" t="str">
        <x:v>Primary CTA</x:v>
      </x:c>
      <x:c r="G4" s="26" t="str">
        <x:v>Non-local CTA</x:v>
      </x:c>
      <x:c r="H4" s="26" t="str">
        <x:v>Cadence</x:v>
      </x:c>
      <x:c r="I4" s="27" t="str">
        <x:v>Core KPI</x:v>
      </x:c>
    </x:row>
    <x:row r="5" ht="26.399999618530273" hidden="0" customHeight="1">
      <x:c r="A5" s="47" t="str">
        <x:v>I want to teach your next event</x:v>
      </x:c>
      <x:c r="B5" s="48" t="str">
        <x:v>Direct local demand</x:v>
      </x:c>
      <x:c r="C5" s="48" t="str">
        <x:v>20 to 30 sec</x:v>
      </x:c>
      <x:c r="D5" s="48" t="str">
        <x:v>Hey, [City]. I want to teach line dancing at your next [event].</x:v>
      </x:c>
      <x:c r="E5" s="48" t="str">
        <x:v>Direct-to-camera intro, group learning, instructor demonstrating</x:v>
      </x:c>
      <x:c r="F5" s="48" t="str">
        <x:v>View my profile and ask about your date</x:v>
      </x:c>
      <x:c r="G5" s="48" t="str">
        <x:v>Find an instructor near you at HireLineDancers.com</x:v>
      </x:c>
      <x:c r="H5" s="48" t="str">
        <x:v>Day 4, then seasonal</x:v>
      </x:c>
      <x:c r="I5" s="49" t="str">
        <x:v>Profile visits and inquiries</x:v>
      </x:c>
    </x:row>
    <x:row r="6" ht="26.399999618530273" hidden="0" customHeight="1">
      <x:c r="A6" s="50" t="str">
        <x:v>Send this to your event planner</x:v>
      </x:c>
      <x:c r="B6" s="51" t="str">
        <x:v>Bottom-up employee or guest referral</x:v>
      </x:c>
      <x:c r="C6" s="51" t="str">
        <x:v>15 to 25 sec</x:v>
      </x:c>
      <x:c r="D6" s="51" t="str">
        <x:v>Send this to the person who plans your company events.</x:v>
      </x:c>
      <x:c r="E6" s="51" t="str">
        <x:v>Friendly direct-to-camera ask plus beginner lesson clips</x:v>
      </x:c>
      <x:c r="F6" s="51" t="str">
        <x:v>Forward, tag, or paste the prepared message</x:v>
      </x:c>
      <x:c r="G6" s="51" t="str">
        <x:v>Use the city directory</x:v>
      </x:c>
      <x:c r="H6" s="51" t="str">
        <x:v>Day 12, then monthly</x:v>
      </x:c>
      <x:c r="I6" s="52" t="str">
        <x:v>Shares, sends, and tagged planners</x:v>
      </x:c>
    </x:row>
    <x:row r="7" ht="26.399999618530273" hidden="0" customHeight="1">
      <x:c r="A7" s="50" t="str">
        <x:v>Watch a room become participants</x:v>
      </x:c>
      <x:c r="B7" s="51" t="str">
        <x:v>Demonstrate the experience</x:v>
      </x:c>
      <x:c r="C7" s="51" t="str">
        <x:v>15 to 30 sec</x:v>
      </x:c>
      <x:c r="D7" s="51" t="str">
        <x:v>What can 20 minutes of line dancing do for a party?</x:v>
      </x:c>
      <x:c r="E7" s="51" t="str">
        <x:v>Wide room, step breakdown, people joining, group finale</x:v>
      </x:c>
      <x:c r="F7" s="51" t="str">
        <x:v>See what I can teach at your event</x:v>
      </x:c>
      <x:c r="G7" s="51" t="str">
        <x:v>Search the national directory</x:v>
      </x:c>
      <x:c r="H7" s="51" t="str">
        <x:v>Day 8 and after events</x:v>
      </x:c>
      <x:c r="I7" s="52" t="str">
        <x:v>Completion rate and contact starts</x:v>
      </x:c>
    </x:row>
    <x:row r="8" ht="26.399999618530273" hidden="0" customHeight="1">
      <x:c r="A8" s="50" t="str">
        <x:v>Corporate event invitation</x:v>
      </x:c>
      <x:c r="B8" s="51" t="str">
        <x:v>Reach direct buyers and internal advocates</x:v>
      </x:c>
      <x:c r="C8" s="51" t="str">
        <x:v>20 to 30 sec</x:v>
      </x:c>
      <x:c r="D8" s="51" t="str">
        <x:v>I would love to teach at your next company event.</x:v>
      </x:c>
      <x:c r="E8" s="51" t="str">
        <x:v>Coworkers learning, no partner, clear instruction</x:v>
      </x:c>
      <x:c r="F8" s="51" t="str">
        <x:v>Send this to your People team or event committee</x:v>
      </x:c>
      <x:c r="G8" s="51" t="str">
        <x:v>Find a local instructor in another city</x:v>
      </x:c>
      <x:c r="H8" s="51" t="str">
        <x:v>Quarterly and holiday planning</x:v>
      </x:c>
      <x:c r="I8" s="52" t="str">
        <x:v>Corporate inquiries</x:v>
      </x:c>
    </x:row>
    <x:row r="9" ht="26.399999618530273" hidden="0" customHeight="1">
      <x:c r="A9" s="50" t="str">
        <x:v>Private party invitation</x:v>
      </x:c>
      <x:c r="B9" s="51" t="str">
        <x:v>Reach birthday, reunion, and milestone planners</x:v>
      </x:c>
      <x:c r="C9" s="51" t="str">
        <x:v>20 to 30 sec</x:v>
      </x:c>
      <x:c r="D9" s="51" t="str">
        <x:v>Planning a private party in [City]?</x:v>
      </x:c>
      <x:c r="E9" s="51" t="str">
        <x:v>Warm teaching footage and group reactions</x:v>
      </x:c>
      <x:c r="F9" s="51" t="str">
        <x:v>Ask about your date</x:v>
      </x:c>
      <x:c r="G9" s="51" t="str">
        <x:v>Find an instructor near you</x:v>
      </x:c>
      <x:c r="H9" s="51" t="str">
        <x:v>Seasonal</x:v>
      </x:c>
      <x:c r="I9" s="52" t="str">
        <x:v>Private-party inquiries</x:v>
      </x:c>
    </x:row>
    <x:row r="10" ht="26.399999618530273" hidden="0" customHeight="1">
      <x:c r="A10" s="50" t="str">
        <x:v>Bar and bat mitzvah invitation</x:v>
      </x:c>
      <x:c r="B10" s="51" t="str">
        <x:v>Reach planners and multigenerational celebrations</x:v>
      </x:c>
      <x:c r="C10" s="51" t="str">
        <x:v>20 to 30 sec</x:v>
      </x:c>
      <x:c r="D10" s="51" t="str">
        <x:v>Planning a bar or bat mitzvah in [City]?</x:v>
      </x:c>
      <x:c r="E10" s="51" t="str">
        <x:v>Clear instruction with approved age-appropriate footage</x:v>
      </x:c>
      <x:c r="F10" s="51" t="str">
        <x:v>View my profile and ask about coordination with your DJ</x:v>
      </x:c>
      <x:c r="G10" s="51" t="str">
        <x:v>Search the directory</x:v>
      </x:c>
      <x:c r="H10" s="51" t="str">
        <x:v>Seasonal</x:v>
      </x:c>
      <x:c r="I10" s="52" t="str">
        <x:v>Mitzvah inquiries</x:v>
      </x:c>
    </x:row>
    <x:row r="11" ht="26.399999618530273" hidden="0" customHeight="1">
      <x:c r="A11" s="50" t="str">
        <x:v>Post-event proof</x:v>
      </x:c>
      <x:c r="B11" s="51" t="str">
        <x:v>Turn a completed event into the next growth loop</x:v>
      </x:c>
      <x:c r="C11" s="51" t="str">
        <x:v>15 to 30 sec</x:v>
      </x:c>
      <x:c r="D11" s="51" t="str">
        <x:v>This room started as beginners.</x:v>
      </x:c>
      <x:c r="E11" s="51" t="str">
        <x:v>Permissioned lesson, smiles, group finale, client quote</x:v>
      </x:c>
      <x:c r="F11" s="51" t="str">
        <x:v>Plan a similar experience</x:v>
      </x:c>
      <x:c r="G11" s="51" t="str">
        <x:v>Find a nearby instructor</x:v>
      </x:c>
      <x:c r="H11" s="51" t="str">
        <x:v>After every approved event</x:v>
      </x:c>
      <x:c r="I11" s="52" t="str">
        <x:v>Referrals and repeat inquiries</x:v>
      </x:c>
    </x:row>
    <x:row r="12" ht="26.399999618530273" hidden="0" customHeight="1">
      <x:c r="A12" s="53" t="str">
        <x:v>Employee Slack or email prompt</x:v>
      </x:c>
      <x:c r="B12" s="54" t="str">
        <x:v>Make internal advocacy frictionless</x:v>
      </x:c>
      <x:c r="C12" s="54" t="str">
        <x:v>Text</x:v>
      </x:c>
      <x:c r="D12" s="54" t="str">
        <x:v>Could we hire a line dance instructor for our next party?</x:v>
      </x:c>
      <x:c r="E12" s="54" t="str">
        <x:v>Local profile link and one-sentence value explanation</x:v>
      </x:c>
      <x:c r="F12" s="54" t="str">
        <x:v>Forward to People, HR, office manager, or event committee</x:v>
      </x:c>
      <x:c r="G12" s="54" t="str">
        <x:v>Use the city directory</x:v>
      </x:c>
      <x:c r="H12" s="54" t="str">
        <x:v>Paired with referral video</x:v>
      </x:c>
      <x:c r="I12" s="55" t="str">
        <x:v>Forwarded links and organizer visits</x:v>
      </x:c>
    </x:row>
    <x:row r="15">
      <x:c r="A15" s="11" t="str">
        <x:v>Tracking URL example</x:v>
      </x:c>
      <x:c r="B15" s="11"/>
      <x:c r="C15" s="11"/>
      <x:c r="D15" s="11"/>
      <x:c r="E15" s="11"/>
      <x:c r="F15" s="11"/>
      <x:c r="G15" s="11"/>
      <x:c r="H15" s="11"/>
      <x:c r="I15" s="11"/>
    </x:row>
    <x:row r="16">
      <x:c r="A16" s="87" t="str">
        <x:v>https://hirelinedancers.com/instructors/[slug]?utm_source=instagram&amp;utm_medium=instructor_social&amp;utm_campaign=profile_launch&amp;utm_content=corporate_v1</x:v>
      </x:c>
      <x:c r="B16" s="87"/>
      <x:c r="C16" s="87"/>
      <x:c r="D16" s="87"/>
      <x:c r="E16" s="87"/>
      <x:c r="F16" s="87"/>
      <x:c r="G16" s="87"/>
      <x:c r="H16" s="87"/>
      <x:c r="I16" s="87"/>
    </x:row>
    <x:row r="17">
      <x:c r="A17" s="87"/>
      <x:c r="B17" s="87"/>
      <x:c r="C17" s="87"/>
      <x:c r="D17" s="87"/>
      <x:c r="E17" s="87"/>
      <x:c r="F17" s="87"/>
      <x:c r="G17" s="87"/>
      <x:c r="H17" s="87"/>
      <x:c r="I17" s="87"/>
    </x:row>
  </x:sheetData>
  <x:mergeCells>
    <x:mergeCell ref="A1:I1"/>
    <x:mergeCell ref="A2:I2"/>
    <x:mergeCell ref="A15:I15"/>
    <x:mergeCell ref="A16:I17"/>
  </x:mergeCells>
  <x:pageMargins left="0.7" right="0.7" top="0.75" bottom="0.75" header="0.3" footer="0.3"/>
  <x:tableParts count="1">
    <x:tablePart xmlns:r="http://schemas.openxmlformats.org/officeDocument/2006/relationships" r:id="R0bb95fcf5cca40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8" hidden="0" customWidth="1"/>
    <x:col min="10" max="10" width="37" hidden="0" customWidth="1"/>
  </x:cols>
  <x:sheetData>
    <x:row r="1" ht="34" customHeight="1">
      <x:c r="A1" s="12" t="str">
        <x:v>DJ and MC research queue for the 10 launch markets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34" customHeight="1">
      <x:c r="A2" s="16" t="str">
        <x:v>Add verified organizations to Outreach List using category DJ / MC. Use directories only for discovery, then verify the public business record on the organization’s official website.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4" ht="30" customHeight="1">
      <x:c r="A4" s="25" t="str">
        <x:v>City</x:v>
      </x:c>
      <x:c r="B4" s="26" t="str">
        <x:v>State</x:v>
      </x:c>
      <x:c r="C4" s="26" t="str">
        <x:v>Segment</x:v>
      </x:c>
      <x:c r="D4" s="26" t="str">
        <x:v>Target</x:v>
      </x:c>
      <x:c r="E4" s="26" t="str">
        <x:v>Found</x:v>
      </x:c>
      <x:c r="F4" s="26" t="str">
        <x:v>Remaining</x:v>
      </x:c>
      <x:c r="G4" s="26" t="str">
        <x:v>Priority</x:v>
      </x:c>
      <x:c r="H4" s="26" t="str">
        <x:v>Status</x:v>
      </x:c>
      <x:c r="I4" s="26" t="str">
        <x:v>Discovery sources</x:v>
      </x:c>
      <x:c r="J4" s="27" t="str">
        <x:v>Next action</x:v>
      </x:c>
    </x:row>
    <x:row r="5" ht="26.399999618530273" hidden="0" customHeight="1">
      <x:c r="A5" s="47" t="str">
        <x:v>Nashville</x:v>
      </x:c>
      <x:c r="B5" s="48" t="str">
        <x:v>TN</x:v>
      </x:c>
      <x:c r="C5" s="48" t="str">
        <x:v>DJ / MC</x:v>
      </x:c>
      <x:c r="D5" s="88" t="n">
        <x:v>10</x:v>
      </x:c>
      <x:c r="E5" s="88" t="n">
        <x:f>COUNTIFS('Outreach List'!$C$2:$C$1000,A5,'Outreach List'!$B$2:$B$1000,C5)</x:f>
        <x:v>0</x:v>
      </x:c>
      <x:c r="F5" s="88" t="n">
        <x:f>MAX(0,D5-E5)</x:f>
        <x:v>10</x:v>
      </x:c>
      <x:c r="G5" s="89" t="str">
        <x:v>P1</x:v>
      </x:c>
      <x:c r="H5" s="89" t="str">
        <x:f>IF(E5&gt;=D5,"Complete",IF(E5&gt;0,"In progress","Not started"))</x:f>
        <x:v>Not started</x:v>
      </x:c>
      <x:c r="I5" s="48" t="str">
        <x:v>ADJA, The Knot, WeddingWire, PartySlate, and official company websites</x:v>
      </x:c>
      <x:c r="J5" s="49" t="str">
        <x:v>Research and verify ten public business records</x:v>
      </x:c>
    </x:row>
    <x:row r="6" ht="26.399999618530273" hidden="0" customHeight="1">
      <x:c r="A6" s="50" t="str">
        <x:v>Fort Worth</x:v>
      </x:c>
      <x:c r="B6" s="51" t="str">
        <x:v>TX</x:v>
      </x:c>
      <x:c r="C6" s="51" t="str">
        <x:v>DJ / MC</x:v>
      </x:c>
      <x:c r="D6" s="90" t="n">
        <x:v>10</x:v>
      </x:c>
      <x:c r="E6" s="90" t="n">
        <x:f>COUNTIFS('Outreach List'!$C$2:$C$1000,A6,'Outreach List'!$B$2:$B$1000,C6)</x:f>
        <x:v>0</x:v>
      </x:c>
      <x:c r="F6" s="90" t="n">
        <x:f>MAX(0,D6-E6)</x:f>
        <x:v>10</x:v>
      </x:c>
      <x:c r="G6" s="91" t="str">
        <x:v>P1</x:v>
      </x:c>
      <x:c r="H6" s="91" t="str">
        <x:f>IF(E6&gt;=D6,"Complete",IF(E6&gt;0,"In progress","Not started"))</x:f>
        <x:v>Not started</x:v>
      </x:c>
      <x:c r="I6" s="51" t="str">
        <x:v>ADJA, The Knot, WeddingWire, PartySlate, and official company websites</x:v>
      </x:c>
      <x:c r="J6" s="52" t="str">
        <x:v>Research and verify ten public business records</x:v>
      </x:c>
    </x:row>
    <x:row r="7" ht="26.399999618530273" hidden="0" customHeight="1">
      <x:c r="A7" s="50" t="str">
        <x:v>Austin</x:v>
      </x:c>
      <x:c r="B7" s="51" t="str">
        <x:v>TX</x:v>
      </x:c>
      <x:c r="C7" s="51" t="str">
        <x:v>DJ / MC</x:v>
      </x:c>
      <x:c r="D7" s="90" t="n">
        <x:v>10</x:v>
      </x:c>
      <x:c r="E7" s="90" t="n">
        <x:f>COUNTIFS('Outreach List'!$C$2:$C$1000,A7,'Outreach List'!$B$2:$B$1000,C7)</x:f>
        <x:v>0</x:v>
      </x:c>
      <x:c r="F7" s="90" t="n">
        <x:f>MAX(0,D7-E7)</x:f>
        <x:v>10</x:v>
      </x:c>
      <x:c r="G7" s="91" t="str">
        <x:v>P1</x:v>
      </x:c>
      <x:c r="H7" s="91" t="str">
        <x:f>IF(E7&gt;=D7,"Complete",IF(E7&gt;0,"In progress","Not started"))</x:f>
        <x:v>Not started</x:v>
      </x:c>
      <x:c r="I7" s="51" t="str">
        <x:v>ADJA, The Knot, WeddingWire, PartySlate, and official company websites</x:v>
      </x:c>
      <x:c r="J7" s="52" t="str">
        <x:v>Research and verify ten public business records</x:v>
      </x:c>
    </x:row>
    <x:row r="8" ht="26.399999618530273" hidden="0" customHeight="1">
      <x:c r="A8" s="50" t="str">
        <x:v>Dallas</x:v>
      </x:c>
      <x:c r="B8" s="51" t="str">
        <x:v>TX</x:v>
      </x:c>
      <x:c r="C8" s="51" t="str">
        <x:v>DJ / MC</x:v>
      </x:c>
      <x:c r="D8" s="90" t="n">
        <x:v>10</x:v>
      </x:c>
      <x:c r="E8" s="90" t="n">
        <x:f>COUNTIFS('Outreach List'!$C$2:$C$1000,A8,'Outreach List'!$B$2:$B$1000,C8)</x:f>
        <x:v>0</x:v>
      </x:c>
      <x:c r="F8" s="90" t="n">
        <x:f>MAX(0,D8-E8)</x:f>
        <x:v>10</x:v>
      </x:c>
      <x:c r="G8" s="91" t="str">
        <x:v>P1</x:v>
      </x:c>
      <x:c r="H8" s="91" t="str">
        <x:f>IF(E8&gt;=D8,"Complete",IF(E8&gt;0,"In progress","Not started"))</x:f>
        <x:v>Not started</x:v>
      </x:c>
      <x:c r="I8" s="51" t="str">
        <x:v>ADJA, The Knot, WeddingWire, PartySlate, and official company websites</x:v>
      </x:c>
      <x:c r="J8" s="52" t="str">
        <x:v>Research and verify ten public business records</x:v>
      </x:c>
    </x:row>
    <x:row r="9" ht="26.399999618530273" hidden="0" customHeight="1">
      <x:c r="A9" s="50" t="str">
        <x:v>Houston</x:v>
      </x:c>
      <x:c r="B9" s="51" t="str">
        <x:v>TX</x:v>
      </x:c>
      <x:c r="C9" s="51" t="str">
        <x:v>DJ / MC</x:v>
      </x:c>
      <x:c r="D9" s="90" t="n">
        <x:v>10</x:v>
      </x:c>
      <x:c r="E9" s="90" t="n">
        <x:f>COUNTIFS('Outreach List'!$C$2:$C$1000,A9,'Outreach List'!$B$2:$B$1000,C9)</x:f>
        <x:v>0</x:v>
      </x:c>
      <x:c r="F9" s="90" t="n">
        <x:f>MAX(0,D9-E9)</x:f>
        <x:v>10</x:v>
      </x:c>
      <x:c r="G9" s="91" t="str">
        <x:v>P1</x:v>
      </x:c>
      <x:c r="H9" s="91" t="str">
        <x:f>IF(E9&gt;=D9,"Complete",IF(E9&gt;0,"In progress","Not started"))</x:f>
        <x:v>Not started</x:v>
      </x:c>
      <x:c r="I9" s="51" t="str">
        <x:v>ADJA, The Knot, WeddingWire, PartySlate, and official company websites</x:v>
      </x:c>
      <x:c r="J9" s="52" t="str">
        <x:v>Research and verify ten public business records</x:v>
      </x:c>
    </x:row>
    <x:row r="10" ht="26.399999618530273" hidden="0" customHeight="1">
      <x:c r="A10" s="50" t="str">
        <x:v>San Francisco Bay Area</x:v>
      </x:c>
      <x:c r="B10" s="51" t="str">
        <x:v>CA</x:v>
      </x:c>
      <x:c r="C10" s="51" t="str">
        <x:v>DJ / MC</x:v>
      </x:c>
      <x:c r="D10" s="90" t="n">
        <x:v>10</x:v>
      </x:c>
      <x:c r="E10" s="90" t="n">
        <x:f>COUNTIFS('Outreach List'!$C$2:$C$1000,A10,'Outreach List'!$B$2:$B$1000,C10)</x:f>
        <x:v>0</x:v>
      </x:c>
      <x:c r="F10" s="90" t="n">
        <x:f>MAX(0,D10-E10)</x:f>
        <x:v>10</x:v>
      </x:c>
      <x:c r="G10" s="91" t="str">
        <x:v>P1</x:v>
      </x:c>
      <x:c r="H10" s="91" t="str">
        <x:f>IF(E10&gt;=D10,"Complete",IF(E10&gt;0,"In progress","Not started"))</x:f>
        <x:v>Not started</x:v>
      </x:c>
      <x:c r="I10" s="51" t="str">
        <x:v>ADJA, The Knot, WeddingWire, PartySlate, and official company websites</x:v>
      </x:c>
      <x:c r="J10" s="52" t="str">
        <x:v>Research and verify ten public business records</x:v>
      </x:c>
    </x:row>
    <x:row r="11" ht="26.399999618530273" hidden="0" customHeight="1">
      <x:c r="A11" s="50" t="str">
        <x:v>Phoenix</x:v>
      </x:c>
      <x:c r="B11" s="51" t="str">
        <x:v>AZ</x:v>
      </x:c>
      <x:c r="C11" s="51" t="str">
        <x:v>DJ / MC</x:v>
      </x:c>
      <x:c r="D11" s="90" t="n">
        <x:v>10</x:v>
      </x:c>
      <x:c r="E11" s="90" t="n">
        <x:f>COUNTIFS('Outreach List'!$C$2:$C$1000,A11,'Outreach List'!$B$2:$B$1000,C11)</x:f>
        <x:v>0</x:v>
      </x:c>
      <x:c r="F11" s="90" t="n">
        <x:f>MAX(0,D11-E11)</x:f>
        <x:v>10</x:v>
      </x:c>
      <x:c r="G11" s="91" t="str">
        <x:v>P1</x:v>
      </x:c>
      <x:c r="H11" s="91" t="str">
        <x:f>IF(E11&gt;=D11,"Complete",IF(E11&gt;0,"In progress","Not started"))</x:f>
        <x:v>Not started</x:v>
      </x:c>
      <x:c r="I11" s="51" t="str">
        <x:v>ADJA, The Knot, WeddingWire, PartySlate, and official company websites</x:v>
      </x:c>
      <x:c r="J11" s="52" t="str">
        <x:v>Research and verify ten public business records</x:v>
      </x:c>
    </x:row>
    <x:row r="12" ht="26.399999618530273" hidden="0" customHeight="1">
      <x:c r="A12" s="50" t="str">
        <x:v>Atlanta</x:v>
      </x:c>
      <x:c r="B12" s="51" t="str">
        <x:v>GA</x:v>
      </x:c>
      <x:c r="C12" s="51" t="str">
        <x:v>DJ / MC</x:v>
      </x:c>
      <x:c r="D12" s="90" t="n">
        <x:v>10</x:v>
      </x:c>
      <x:c r="E12" s="90" t="n">
        <x:f>COUNTIFS('Outreach List'!$C$2:$C$1000,A12,'Outreach List'!$B$2:$B$1000,C12)</x:f>
        <x:v>0</x:v>
      </x:c>
      <x:c r="F12" s="90" t="n">
        <x:f>MAX(0,D12-E12)</x:f>
        <x:v>10</x:v>
      </x:c>
      <x:c r="G12" s="91" t="str">
        <x:v>P1</x:v>
      </x:c>
      <x:c r="H12" s="91" t="str">
        <x:f>IF(E12&gt;=D12,"Complete",IF(E12&gt;0,"In progress","Not started"))</x:f>
        <x:v>Not started</x:v>
      </x:c>
      <x:c r="I12" s="51" t="str">
        <x:v>ADJA, The Knot, WeddingWire, PartySlate, and official company websites</x:v>
      </x:c>
      <x:c r="J12" s="52" t="str">
        <x:v>Research and verify ten public business records</x:v>
      </x:c>
    </x:row>
    <x:row r="13" ht="26.399999618530273" hidden="0" customHeight="1">
      <x:c r="A13" s="50" t="str">
        <x:v>Charlotte</x:v>
      </x:c>
      <x:c r="B13" s="51" t="str">
        <x:v>NC</x:v>
      </x:c>
      <x:c r="C13" s="51" t="str">
        <x:v>DJ / MC</x:v>
      </x:c>
      <x:c r="D13" s="90" t="n">
        <x:v>10</x:v>
      </x:c>
      <x:c r="E13" s="90" t="n">
        <x:f>COUNTIFS('Outreach List'!$C$2:$C$1000,A13,'Outreach List'!$B$2:$B$1000,C13)</x:f>
        <x:v>0</x:v>
      </x:c>
      <x:c r="F13" s="90" t="n">
        <x:f>MAX(0,D13-E13)</x:f>
        <x:v>10</x:v>
      </x:c>
      <x:c r="G13" s="91" t="str">
        <x:v>P1</x:v>
      </x:c>
      <x:c r="H13" s="91" t="str">
        <x:f>IF(E13&gt;=D13,"Complete",IF(E13&gt;0,"In progress","Not started"))</x:f>
        <x:v>Not started</x:v>
      </x:c>
      <x:c r="I13" s="51" t="str">
        <x:v>ADJA, The Knot, WeddingWire, PartySlate, and official company websites</x:v>
      </x:c>
      <x:c r="J13" s="52" t="str">
        <x:v>Research and verify ten public business records</x:v>
      </x:c>
    </x:row>
    <x:row r="14" ht="26.399999618530273" hidden="0" customHeight="1">
      <x:c r="A14" s="50" t="str">
        <x:v>Las Vegas</x:v>
      </x:c>
      <x:c r="B14" s="51" t="str">
        <x:v>NV</x:v>
      </x:c>
      <x:c r="C14" s="51" t="str">
        <x:v>DJ / MC</x:v>
      </x:c>
      <x:c r="D14" s="90" t="n">
        <x:v>10</x:v>
      </x:c>
      <x:c r="E14" s="90" t="n">
        <x:f>COUNTIFS('Outreach List'!$C$2:$C$1000,A14,'Outreach List'!$B$2:$B$1000,C14)</x:f>
        <x:v>0</x:v>
      </x:c>
      <x:c r="F14" s="90" t="n">
        <x:f>MAX(0,D14-E14)</x:f>
        <x:v>10</x:v>
      </x:c>
      <x:c r="G14" s="91" t="str">
        <x:v>P1</x:v>
      </x:c>
      <x:c r="H14" s="91" t="str">
        <x:f>IF(E14&gt;=D14,"Complete",IF(E14&gt;0,"In progress","Not started"))</x:f>
        <x:v>Not started</x:v>
      </x:c>
      <x:c r="I14" s="51" t="str">
        <x:v>ADJA, The Knot, WeddingWire, PartySlate, and official company websites</x:v>
      </x:c>
      <x:c r="J14" s="52" t="str">
        <x:v>Research and verify ten public business records</x:v>
      </x:c>
    </x:row>
    <x:row r="15">
      <x:c r="A15" s="62" t="str">
        <x:v>Total</x:v>
      </x:c>
      <x:c r="B15" s="63"/>
      <x:c r="C15" s="63"/>
      <x:c r="D15" s="92" t="n">
        <x:f>SUM(D5:D14)</x:f>
        <x:v>100</x:v>
      </x:c>
      <x:c r="E15" s="92" t="n">
        <x:f>SUM(E5:E14)</x:f>
        <x:v>0</x:v>
      </x:c>
      <x:c r="F15" s="92" t="n">
        <x:f>SUM(F5:F14)</x:f>
        <x:v>100</x:v>
      </x:c>
      <x:c r="G15" s="93"/>
      <x:c r="H15" s="93"/>
      <x:c r="I15" s="63"/>
      <x:c r="J15" s="63"/>
    </x:row>
  </x:sheetData>
  <x:mergeCells>
    <x:mergeCell ref="A1:J1"/>
    <x:mergeCell ref="A2:J2"/>
  </x:mergeCells>
  <x:conditionalFormatting sqref="H5:H14">
    <x:cfRule type="containsText" dxfId="7" priority="1" operator="containsText" text="Complete"/>
    <x:cfRule type="containsText" dxfId="8" priority="2" operator="containsText" text="Not started"/>
  </x:conditionalFormatting>
  <x:pageMargins left="0.7" right="0.7" top="0.75" bottom="0.75" header="0.3" footer="0.3"/>
  <x:tableParts count="1">
    <x:tablePart xmlns:r="http://schemas.openxmlformats.org/officeDocument/2006/relationships" r:id="R785262a7448242a1"/>
  </x:tableParts>
</x:worksheet>
</file>