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eb8bde54d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7754337e6004bd4"/>
    <x:sheet xmlns:r="http://schemas.openxmlformats.org/officeDocument/2006/relationships" name="Instructor Pipeline" sheetId="2" r:id="R0024d53a6cbc418f"/>
    <x:sheet xmlns:r="http://schemas.openxmlformats.org/officeDocument/2006/relationships" name="City Top 10" sheetId="3" r:id="R4abcdab93fba4d7e"/>
    <x:sheet xmlns:r="http://schemas.openxmlformats.org/officeDocument/2006/relationships" name="Content &amp; Signup" sheetId="4" r:id="Rf2e4464d7e214d28"/>
    <x:sheet xmlns:r="http://schemas.openxmlformats.org/officeDocument/2006/relationships" name="Regions" sheetId="5" r:id="R9ce4ca5db16a43e2"/>
    <x:sheet xmlns:r="http://schemas.openxmlformats.org/officeDocument/2006/relationships" name="Workflow &amp; Lists" sheetId="6" r:id="R32cfe4cf1f1d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4">
    <x:font>
      <x:sz val="11"/>
      <x:name val="Carlito"/>
    </x:font>
    <x:font>
      <x:b/>
      <x:sz val="22"/>
      <x:color rgb="FFFFFFFF"/>
      <x:name val="Carlito"/>
    </x:font>
    <x:font>
      <x:i/>
      <x:sz val="10"/>
      <x:color rgb="FF607068"/>
      <x:name val="Carlito"/>
    </x:font>
    <x:font>
      <x:b/>
      <x:sz val="10"/>
      <x:color rgb="FF173D2E"/>
      <x:name val="Carlito"/>
    </x:font>
    <x:font>
      <x:b/>
      <x:sz val="10"/>
      <x:color rgb="FFFFFFFF"/>
      <x:name val="Carlito"/>
    </x:font>
    <x:font>
      <x:sz val="9"/>
      <x:color rgb="FF1F2A24"/>
      <x:name val="Carlito"/>
    </x:font>
    <x:font>
      <x:sz val="9"/>
      <x:color rgb="FF135E96"/>
      <x:name val="Carlito"/>
    </x:font>
    <x:font>
      <x:b/>
      <x:sz val="9"/>
      <x:color rgb="FFFFFFFF"/>
      <x:name val="Carlito"/>
    </x:font>
    <x:font>
      <x:b/>
      <x:sz val="24"/>
      <x:color rgb="FF173D2E"/>
      <x:name val="Carlito"/>
    </x:font>
    <x:font>
      <x:b/>
      <x:sz val="9"/>
      <x:color rgb="FF607068"/>
      <x:name val="Carlito"/>
    </x:font>
    <x:font>
      <x:b/>
      <x:sz val="16"/>
      <x:color rgb="FF173D2E"/>
      <x:name val="Carlito"/>
    </x:font>
    <x:font>
      <x:b/>
      <x:sz val="9"/>
      <x:color rgb="FF173D2E"/>
      <x:name val="Carlito"/>
    </x:font>
    <x:font>
      <x:sz val="10"/>
      <x:color rgb="FF1F2A24"/>
      <x:name val="Carlito"/>
    </x:font>
    <x:font>
      <x:b/>
      <x:sz val="12"/>
      <x:color rgb="FF173D2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D2E"/>
      </x:patternFill>
    </x:fill>
    <x:fill>
      <x:patternFill patternType="solid">
        <x:fgColor rgb="FFF7F3EA"/>
      </x:patternFill>
    </x:fill>
    <x:fill>
      <x:patternFill patternType="solid">
        <x:fgColor rgb="FFDDE8E0"/>
      </x:patternFill>
    </x:fill>
    <x:fill>
      <x:patternFill patternType="solid">
        <x:fgColor rgb="FF244F3E"/>
      </x:patternFill>
    </x:fill>
    <x:fill>
      <x:patternFill patternType="solid">
        <x:fgColor rgb="FFFFFCF6"/>
      </x:patternFill>
    </x:fill>
    <x:fill>
      <x:patternFill patternType="solid">
        <x:fgColor rgb="FFE5EFF5"/>
      </x:patternFill>
    </x:fill>
    <x:fill>
      <x:patternFill patternType="solid">
        <x:fgColor rgb="FFDDEEDB"/>
      </x:patternFill>
    </x:fill>
    <x:fill>
      <x:patternFill patternType="solid">
        <x:fgColor rgb="FFFCE8C7"/>
      </x:patternFill>
    </x:fill>
    <x:fill>
      <x:patternFill patternType="solid">
        <x:fgColor rgb="FFF7D9D7"/>
      </x:patternFill>
    </x:fill>
    <x:fill>
      <x:patternFill patternType="solid">
        <x:fgColor rgb="FFD9A441"/>
      </x:patternFill>
    </x:fill>
  </x:fills>
  <x:borders count="17">
    <x:border/>
    <x:border>
      <x:left style="thin">
        <x:color rgb="FF244F3E"/>
      </x:left>
      <x:right style="thin">
        <x:color rgb="FF244F3E"/>
      </x:right>
      <x:top style="thin">
        <x:color rgb="FF244F3E"/>
      </x:top>
      <x:bottom style="thin">
        <x:color rgb="FF244F3E"/>
      </x:bottom>
    </x:border>
    <x:border>
      <x:left style="thin">
        <x:color rgb="FFD8D3C8"/>
      </x:left>
      <x:right style="thin">
        <x:color rgb="FFD8D3C8"/>
      </x:right>
      <x:top style="thin">
        <x:color rgb="FFD8D3C8"/>
      </x:top>
      <x:bottom style="thin">
        <x:color rgb="FFD8D3C8"/>
      </x:bottom>
    </x:border>
    <x:border>
      <x:left style="thin">
        <x:color rgb="FF244F3E"/>
      </x:left>
      <x:top style="thin">
        <x:color rgb="FF244F3E"/>
      </x:top>
      <x:bottom style="thin">
        <x:color rgb="FF244F3E"/>
      </x:bottom>
    </x:border>
    <x:border>
      <x:right style="thin">
        <x:color rgb="FF244F3E"/>
      </x:right>
      <x:top style="thin">
        <x:color rgb="FF244F3E"/>
      </x:top>
      <x:bottom style="thin">
        <x:color rgb="FF244F3E"/>
      </x:bottom>
    </x:border>
    <x:border>
      <x:left style="thin">
        <x:color rgb="FFD8D3C8"/>
      </x:left>
      <x:top style="thin">
        <x:color rgb="FFD8D3C8"/>
      </x:top>
    </x:border>
    <x:border>
      <x:right style="thin">
        <x:color rgb="FFD8D3C8"/>
      </x:right>
      <x:top style="thin">
        <x:color rgb="FFD8D3C8"/>
      </x:top>
    </x:border>
    <x:border>
      <x:left style="thin">
        <x:color rgb="FFD8D3C8"/>
      </x:left>
    </x:border>
    <x:border>
      <x:right style="thin">
        <x:color rgb="FFD8D3C8"/>
      </x:right>
    </x:border>
    <x:border>
      <x:left style="thin">
        <x:color rgb="FFD8D3C8"/>
      </x:left>
      <x:bottom style="thin">
        <x:color rgb="FFD8D3C8"/>
      </x:bottom>
    </x:border>
    <x:border>
      <x:right style="thin">
        <x:color rgb="FFD8D3C8"/>
      </x:right>
      <x:bottom style="thin">
        <x:color rgb="FFD8D3C8"/>
      </x:bottom>
    </x:border>
    <x:border>
      <x:top style="thin">
        <x:color rgb="FF244F3E"/>
      </x:top>
      <x:bottom style="thin">
        <x:color rgb="FF244F3E"/>
      </x:bottom>
    </x:border>
    <x:border>
      <x:top style="thin">
        <x:color rgb="FFD8D3C8"/>
      </x:top>
    </x:border>
    <x:border>
      <x:bottom style="thin">
        <x:color rgb="FFD8D3C8"/>
      </x:bottom>
    </x:border>
    <x:border>
      <x:left style="thin">
        <x:color rgb="FFD8D3C8"/>
      </x:left>
      <x:top style="thin">
        <x:color rgb="FFD8D3C8"/>
      </x:top>
      <x:bottom style="thin">
        <x:color rgb="FFD8D3C8"/>
      </x:bottom>
    </x:border>
    <x:border>
      <x:top style="thin">
        <x:color rgb="FFD8D3C8"/>
      </x:top>
      <x:bottom style="thin">
        <x:color rgb="FFD8D3C8"/>
      </x:bottom>
    </x:border>
    <x:border>
      <x:right style="thin">
        <x:color rgb="FFD8D3C8"/>
      </x:right>
      <x:top style="thin">
        <x:color rgb="FFD8D3C8"/>
      </x:top>
      <x:bottom style="thin">
        <x:color rgb="FFD8D3C8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200" fontId="5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10" xfId="0" applyNumberFormat="1" applyFont="1" applyFill="1" applyBorder="1"/>
    <x:xf numFmtId="0" fontId="8" fillId="4" borderId="5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/>
    </x:xf>
    <x:xf numFmtId="0" fontId="8" fillId="4" borderId="8" xfId="0" applyNumberFormat="1" applyFont="1" applyFill="1" applyBorder="1" applyAlignment="1">
      <x:alignment horizontal="center"/>
    </x:xf>
    <x:xf numFmtId="0" fontId="8" fillId="4" borderId="9" xfId="0" applyNumberFormat="1" applyFont="1" applyFill="1" applyBorder="1" applyAlignment="1">
      <x:alignment horizontal="center"/>
    </x:xf>
    <x:xf numFmtId="0" fontId="8" fillId="4" borderId="10" xfId="0" applyNumberFormat="1" applyFont="1" applyFill="1" applyBorder="1" applyAlignment="1">
      <x:alignment horizontal="center"/>
    </x:xf>
    <x:xf numFmtId="0" fontId="8" fillId="4" borderId="5" xfId="0" applyNumberFormat="1" applyFont="1" applyFill="1" applyBorder="1" applyAlignment="1">
      <x:alignment horizontal="center" vertical="center"/>
    </x:xf>
    <x:xf numFmtId="0" fontId="8" fillId="4" borderId="6" xfId="0" applyNumberFormat="1" applyFont="1" applyFill="1" applyBorder="1" applyAlignment="1">
      <x:alignment horizontal="center" vertical="center"/>
    </x:xf>
    <x:xf numFmtId="0" fontId="8" fillId="4" borderId="7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8" fillId="4" borderId="9" xfId="0" applyNumberFormat="1" applyFont="1" applyFill="1" applyBorder="1" applyAlignment="1">
      <x:alignment horizontal="center" vertical="center"/>
    </x:xf>
    <x:xf numFmtId="0" fontId="8" fillId="4" borderId="1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5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8" xfId="0" applyNumberFormat="1" applyFont="1" applyFill="1" applyBorder="1" applyAlignment="1">
      <x:alignment horizontal="center"/>
    </x:xf>
    <x:xf numFmtId="0" fontId="8" fillId="7" borderId="9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 applyAlignment="1">
      <x:alignment horizontal="center" vertical="center"/>
    </x:xf>
    <x:xf numFmtId="0" fontId="8" fillId="7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5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1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0" fontId="8" fillId="8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5" xfId="0" applyNumberFormat="1" applyFont="1" applyFill="1" applyBorder="1" applyAlignment="1">
      <x:alignment horizontal="center"/>
    </x:xf>
    <x:xf numFmtId="0" fontId="8" fillId="9" borderId="6" xfId="0" applyNumberFormat="1" applyFont="1" applyFill="1" applyBorder="1" applyAlignment="1">
      <x:alignment horizontal="center"/>
    </x:xf>
    <x:xf numFmtId="0" fontId="8" fillId="9" borderId="7" xfId="0" applyNumberFormat="1" applyFont="1" applyFill="1" applyBorder="1" applyAlignment="1">
      <x:alignment horizontal="center"/>
    </x:xf>
    <x:xf numFmtId="0" fontId="8" fillId="9" borderId="8" xfId="0" applyNumberFormat="1" applyFont="1" applyFill="1" applyBorder="1" applyAlignment="1">
      <x:alignment horizontal="center"/>
    </x:xf>
    <x:xf numFmtId="0" fontId="8" fillId="9" borderId="9" xfId="0" applyNumberFormat="1" applyFont="1" applyFill="1" applyBorder="1" applyAlignment="1">
      <x:alignment horizontal="center"/>
    </x:xf>
    <x:xf numFmtId="0" fontId="8" fillId="9" borderId="10" xfId="0" applyNumberFormat="1" applyFont="1" applyFill="1" applyBorder="1" applyAlignment="1">
      <x:alignment horizontal="center"/>
    </x:xf>
    <x:xf numFmtId="0" fontId="8" fillId="9" borderId="5" xfId="0" applyNumberFormat="1" applyFont="1" applyFill="1" applyBorder="1" applyAlignment="1">
      <x:alignment horizontal="center" vertical="center"/>
    </x:xf>
    <x:xf numFmtId="0" fontId="8" fillId="9" borderId="6" xfId="0" applyNumberFormat="1" applyFont="1" applyFill="1" applyBorder="1" applyAlignment="1">
      <x:alignment horizontal="center" vertical="center"/>
    </x:xf>
    <x:xf numFmtId="0" fontId="8" fillId="9" borderId="7" xfId="0" applyNumberFormat="1" applyFont="1" applyFill="1" applyBorder="1" applyAlignment="1">
      <x:alignment horizontal="center" vertical="center"/>
    </x:xf>
    <x:xf numFmtId="0" fontId="8" fillId="9" borderId="8" xfId="0" applyNumberFormat="1" applyFont="1" applyFill="1" applyBorder="1" applyAlignment="1">
      <x:alignment horizontal="center" vertical="center"/>
    </x:xf>
    <x:xf numFmtId="0" fontId="8" fillId="9" borderId="9" xfId="0" applyNumberFormat="1" applyFont="1" applyFill="1" applyBorder="1" applyAlignment="1">
      <x:alignment horizontal="center" vertical="center"/>
    </x:xf>
    <x:xf numFmtId="0" fontId="8" fillId="9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/>
    <x:xf numFmtId="0" fontId="7" fillId="5" borderId="11" xfId="0" applyNumberFormat="1" applyFont="1" applyFill="1" applyBorder="1" applyAlignment="1">
      <x:alignment horizont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5" xfId="0" applyNumberFormat="1" applyFont="1" applyFill="1" applyBorder="1"/>
    <x:xf numFmtId="0" fontId="8" fillId="10" borderId="12" xfId="0" applyNumberFormat="1" applyFont="1" applyFill="1" applyBorder="1"/>
    <x:xf numFmtId="0" fontId="8" fillId="10" borderId="6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13" xfId="0" applyNumberFormat="1" applyFont="1" applyFill="1" applyBorder="1"/>
    <x:xf numFmtId="0" fontId="8" fillId="10" borderId="10" xfId="0" applyNumberFormat="1" applyFont="1" applyFill="1" applyBorder="1"/>
    <x:xf numFmtId="0" fontId="8" fillId="10" borderId="5" xfId="0" applyNumberFormat="1" applyFont="1" applyFill="1" applyBorder="1" applyAlignment="1">
      <x:alignment horizontal="center"/>
    </x:xf>
    <x:xf numFmtId="0" fontId="8" fillId="10" borderId="12" xfId="0" applyNumberFormat="1" applyFont="1" applyFill="1" applyBorder="1" applyAlignment="1">
      <x:alignment horizontal="center"/>
    </x:xf>
    <x:xf numFmtId="0" fontId="8" fillId="10" borderId="6" xfId="0" applyNumberFormat="1" applyFont="1" applyFill="1" applyBorder="1" applyAlignment="1">
      <x:alignment horizontal="center"/>
    </x:xf>
    <x:xf numFmtId="0" fontId="8" fillId="10" borderId="7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/>
    </x:xf>
    <x:xf numFmtId="0" fontId="8" fillId="10" borderId="8" xfId="0" applyNumberFormat="1" applyFont="1" applyFill="1" applyBorder="1" applyAlignment="1">
      <x:alignment horizontal="center"/>
    </x:xf>
    <x:xf numFmtId="0" fontId="8" fillId="10" borderId="9" xfId="0" applyNumberFormat="1" applyFont="1" applyFill="1" applyBorder="1" applyAlignment="1">
      <x:alignment horizontal="center"/>
    </x:xf>
    <x:xf numFmtId="0" fontId="8" fillId="10" borderId="13" xfId="0" applyNumberFormat="1" applyFont="1" applyFill="1" applyBorder="1" applyAlignment="1">
      <x:alignment horizontal="center"/>
    </x:xf>
    <x:xf numFmtId="0" fontId="8" fillId="10" borderId="10" xfId="0" applyNumberFormat="1" applyFont="1" applyFill="1" applyBorder="1" applyAlignment="1">
      <x:alignment horizontal="center"/>
    </x:xf>
    <x:xf numFmtId="0" fontId="8" fillId="10" borderId="5" xfId="0" applyNumberFormat="1" applyFont="1" applyFill="1" applyBorder="1" applyAlignment="1">
      <x:alignment horizontal="center" vertical="center"/>
    </x:xf>
    <x:xf numFmtId="0" fontId="8" fillId="10" borderId="12" xfId="0" applyNumberFormat="1" applyFont="1" applyFill="1" applyBorder="1" applyAlignment="1">
      <x:alignment horizontal="center" vertical="center"/>
    </x:xf>
    <x:xf numFmtId="0" fontId="8" fillId="10" borderId="6" xfId="0" applyNumberFormat="1" applyFont="1" applyFill="1" applyBorder="1" applyAlignment="1">
      <x:alignment horizontal="center" vertical="center"/>
    </x:xf>
    <x:xf numFmtId="0" fontId="8" fillId="10" borderId="7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8" fillId="10" borderId="8" xfId="0" applyNumberFormat="1" applyFont="1" applyFill="1" applyBorder="1" applyAlignment="1">
      <x:alignment horizontal="center" vertical="center"/>
    </x:xf>
    <x:xf numFmtId="0" fontId="8" fillId="10" borderId="9" xfId="0" applyNumberFormat="1" applyFont="1" applyFill="1" applyBorder="1" applyAlignment="1">
      <x:alignment horizontal="center" vertical="center"/>
    </x:xf>
    <x:xf numFmtId="0" fontId="8" fillId="10" borderId="13" xfId="0" applyNumberFormat="1" applyFont="1" applyFill="1" applyBorder="1" applyAlignment="1">
      <x:alignment horizontal="center" vertical="center"/>
    </x:xf>
    <x:xf numFmtId="0" fontId="8" fillId="10" borderId="1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4" xfId="0" applyNumberFormat="1" applyFont="1" applyFill="1" applyBorder="1"/>
    <x:xf numFmtId="0" fontId="9" fillId="3" borderId="15" xfId="0" applyNumberFormat="1" applyFont="1" applyFill="1" applyBorder="1"/>
    <x:xf numFmtId="0" fontId="9" fillId="3" borderId="16" xfId="0" applyNumberFormat="1" applyFont="1" applyFill="1" applyBorder="1"/>
    <x:xf numFmtId="0" fontId="9" fillId="3" borderId="14" xfId="0" applyNumberFormat="1" applyFont="1" applyFill="1" applyBorder="1" applyAlignment="1">
      <x:alignment horizontal="center"/>
    </x:xf>
    <x:xf numFmtId="0" fontId="9" fillId="3" borderId="15" xfId="0" applyNumberFormat="1" applyFont="1" applyFill="1" applyBorder="1" applyAlignment="1">
      <x:alignment horizontal="center"/>
    </x:xf>
    <x:xf numFmtId="0" fontId="9" fillId="3" borderId="16" xfId="0" applyNumberFormat="1" applyFont="1" applyFill="1" applyBorder="1" applyAlignment="1">
      <x:alignment horizontal="center"/>
    </x:xf>
    <x:xf numFmtId="0" fontId="9" fillId="3" borderId="14" xfId="0" applyNumberFormat="1" applyFont="1" applyFill="1" applyBorder="1" applyAlignment="1">
      <x:alignment horizontal="center" vertical="center"/>
    </x:xf>
    <x:xf numFmtId="0" fontId="9" fillId="3" borderId="15" xfId="0" applyNumberFormat="1" applyFont="1" applyFill="1" applyBorder="1" applyAlignment="1">
      <x:alignment horizontal="center" vertical="center"/>
    </x:xf>
    <x:xf numFmtId="0" fontId="9" fillId="3" borderId="1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10" fillId="6" borderId="0" xfId="0" applyNumberFormat="1" applyFont="1" applyFill="1" applyBorder="1"/>
    <x:xf numFmtId="201" fontId="10" fillId="6" borderId="5" xfId="0" applyNumberFormat="1" applyFont="1" applyFill="1" applyBorder="1"/>
    <x:xf numFmtId="201" fontId="10" fillId="6" borderId="12" xfId="0" applyNumberFormat="1" applyFont="1" applyFill="1" applyBorder="1"/>
    <x:xf numFmtId="201" fontId="10" fillId="6" borderId="6" xfId="0" applyNumberFormat="1" applyFont="1" applyFill="1" applyBorder="1"/>
    <x:xf numFmtId="201" fontId="10" fillId="6" borderId="9" xfId="0" applyNumberFormat="1" applyFont="1" applyFill="1" applyBorder="1"/>
    <x:xf numFmtId="201" fontId="10" fillId="6" borderId="13" xfId="0" applyNumberFormat="1" applyFont="1" applyFill="1" applyBorder="1"/>
    <x:xf numFmtId="201" fontId="10" fillId="6" borderId="10" xfId="0" applyNumberFormat="1" applyFont="1" applyFill="1" applyBorder="1"/>
    <x:xf numFmtId="201" fontId="10" fillId="6" borderId="5" xfId="0" applyNumberFormat="1" applyFont="1" applyFill="1" applyBorder="1" applyAlignment="1">
      <x:alignment horizontal="center"/>
    </x:xf>
    <x:xf numFmtId="201" fontId="10" fillId="6" borderId="12" xfId="0" applyNumberFormat="1" applyFont="1" applyFill="1" applyBorder="1" applyAlignment="1">
      <x:alignment horizontal="center"/>
    </x:xf>
    <x:xf numFmtId="201" fontId="10" fillId="6" borderId="6" xfId="0" applyNumberFormat="1" applyFont="1" applyFill="1" applyBorder="1" applyAlignment="1">
      <x:alignment horizontal="center"/>
    </x:xf>
    <x:xf numFmtId="201" fontId="10" fillId="6" borderId="9" xfId="0" applyNumberFormat="1" applyFont="1" applyFill="1" applyBorder="1" applyAlignment="1">
      <x:alignment horizontal="center"/>
    </x:xf>
    <x:xf numFmtId="201" fontId="10" fillId="6" borderId="13" xfId="0" applyNumberFormat="1" applyFont="1" applyFill="1" applyBorder="1" applyAlignment="1">
      <x:alignment horizontal="center"/>
    </x:xf>
    <x:xf numFmtId="201" fontId="10" fillId="6" borderId="10" xfId="0" applyNumberFormat="1" applyFont="1" applyFill="1" applyBorder="1" applyAlignment="1">
      <x:alignment horizontal="center"/>
    </x:xf>
    <x:xf numFmtId="201" fontId="10" fillId="6" borderId="5" xfId="0" applyNumberFormat="1" applyFont="1" applyFill="1" applyBorder="1" applyAlignment="1">
      <x:alignment horizontal="center" vertical="center"/>
    </x:xf>
    <x:xf numFmtId="201" fontId="10" fillId="6" borderId="12" xfId="0" applyNumberFormat="1" applyFont="1" applyFill="1" applyBorder="1" applyAlignment="1">
      <x:alignment horizontal="center" vertical="center"/>
    </x:xf>
    <x:xf numFmtId="201" fontId="10" fillId="6" borderId="6" xfId="0" applyNumberFormat="1" applyFont="1" applyFill="1" applyBorder="1" applyAlignment="1">
      <x:alignment horizontal="center" vertical="center"/>
    </x:xf>
    <x:xf numFmtId="201" fontId="10" fillId="6" borderId="9" xfId="0" applyNumberFormat="1" applyFont="1" applyFill="1" applyBorder="1" applyAlignment="1">
      <x:alignment horizontal="center" vertical="center"/>
    </x:xf>
    <x:xf numFmtId="201" fontId="10" fillId="6" borderId="13" xfId="0" applyNumberFormat="1" applyFont="1" applyFill="1" applyBorder="1" applyAlignment="1">
      <x:alignment horizontal="center" vertical="center"/>
    </x:xf>
    <x:xf numFmtId="201" fontId="10" fillId="6" borderId="10" xfId="0" applyNumberFormat="1" applyFont="1" applyFill="1" applyBorder="1" applyAlignment="1">
      <x:alignment horizontal="center" vertical="center"/>
    </x:xf>
    <x:xf numFmtId="0" fontId="11" fillId="6" borderId="2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12" fillId="6" borderId="2" xfId="0" applyNumberFormat="1" applyFont="1" applyFill="1" applyBorder="1"/>
    <x:xf numFmtId="0" fontId="12" fillId="6" borderId="2" xfId="0" applyNumberFormat="1" applyFont="1" applyFill="1" applyBorder="1" applyAlignment="1">
      <x:alignment wrapText="1"/>
    </x:xf>
    <x:xf numFmtId="0" fontId="12" fillId="6" borderId="2" xfId="0" applyNumberFormat="1" applyFont="1" applyFill="1" applyBorder="1" applyAlignment="1">
      <x:alignment vertical="center" wrapText="1"/>
    </x:xf>
    <x:xf numFmtId="0" fontId="12" fillId="11" borderId="2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173D2E"/>
      </x:font>
      <x:fill>
        <x:patternFill patternType="solid">
          <x:bgColor rgb="FFFCE8C7"/>
        </x:patternFill>
      </x:fill>
    </x:dxf>
    <x:dxf>
      <x:font>
        <x:b/>
        <x:color rgb="FF1F2A24"/>
      </x:font>
      <x:fill>
        <x:patternFill patternType="solid">
          <x:bgColor rgb="FFFCE8C7"/>
        </x:patternFill>
      </x:fill>
    </x:dxf>
    <x:dxf>
      <x:font>
        <x:b/>
        <x:color rgb="FF173D2E"/>
      </x:font>
      <x:fill>
        <x:patternFill patternType="solid">
          <x:bgColor rgb="FFDDEEDB"/>
        </x:patternFill>
      </x:fill>
    </x:dxf>
    <x:dxf>
      <x:font>
        <x:b/>
        <x:color rgb="FF8A1C16"/>
      </x:font>
      <x:fill>
        <x:patternFill patternType="solid">
          <x:bgColor rgb="FFF7D9D7"/>
        </x:patternFill>
      </x:fill>
    </x:dxf>
    <x:dxf>
      <x:font>
        <x:b/>
        <x:color rgb="FF173D2E"/>
      </x:font>
      <x:fill>
        <x:patternFill patternType="solid">
          <x:bgColor rgb="FFDDEEDB"/>
        </x:patternFill>
      </x:fill>
    </x:dxf>
    <x:dxf>
      <x:font>
        <x:color rgb="FF8A1C16"/>
      </x:font>
      <x:fill>
        <x:patternFill patternType="solid">
          <x:bgColor rgb="FFF7D9D7"/>
        </x:patternFill>
      </x:fill>
    </x:dxf>
    <x:dxf>
      <x:font>
        <x:b/>
        <x:color rgb="FF8A1C16"/>
      </x:font>
      <x:fill>
        <x:patternFill patternType="solid">
          <x:bgColor rgb="FFF7D9D7"/>
        </x:patternFill>
      </x:fill>
    </x:dxf>
    <x:dxf>
      <x:font>
        <x:b/>
        <x:color rgb="FF173D2E"/>
      </x:font>
      <x:fill>
        <x:patternFill patternType="solid">
          <x:bgColor rgb="FFDDEEDB"/>
        </x:patternFill>
      </x:fill>
    </x:dxf>
    <x:dxf>
      <x:font>
        <x:b/>
        <x:color rgb="FF173D2E"/>
      </x:font>
      <x:fill>
        <x:patternFill patternType="solid">
          <x:bgColor rgb="FFE5EFF5"/>
        </x:patternFill>
      </x:fill>
    </x:dxf>
    <x:dxf>
      <x:font>
        <x:color rgb="FF8A1C16"/>
      </x:font>
      <x:fill>
        <x:patternFill patternType="solid">
          <x:bgColor rgb="FFF7D9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c684a8bfe4fb9" /><Relationship Type="http://schemas.openxmlformats.org/officeDocument/2006/relationships/theme" Target="/xl/theme/theme1.xml" Id="Rd6292ba804894674" /><Relationship Type="http://schemas.openxmlformats.org/officeDocument/2006/relationships/sharedStrings" Target="/xl/sharedStrings.xml" Id="Ra8c5c8348c444777" /><Relationship Type="http://schemas.openxmlformats.org/officeDocument/2006/relationships/worksheet" Target="/xl/worksheets/sheet1.xml" Id="Re7754337e6004bd4" /><Relationship Type="http://schemas.openxmlformats.org/officeDocument/2006/relationships/worksheet" Target="/xl/worksheets/sheet2.xml" Id="R0024d53a6cbc418f" /><Relationship Type="http://schemas.openxmlformats.org/officeDocument/2006/relationships/worksheet" Target="/xl/worksheets/sheet3.xml" Id="R4abcdab93fba4d7e" /><Relationship Type="http://schemas.openxmlformats.org/officeDocument/2006/relationships/worksheet" Target="/xl/worksheets/sheet4.xml" Id="Rf2e4464d7e214d28" /><Relationship Type="http://schemas.openxmlformats.org/officeDocument/2006/relationships/worksheet" Target="/xl/worksheets/sheet5.xml" Id="R9ce4ca5db16a43e2" /><Relationship Type="http://schemas.openxmlformats.org/officeDocument/2006/relationships/worksheet" Target="/xl/worksheets/sheet6.xml" Id="R32cfe4cf1f1d4b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67885e026f4f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Prospects by funnel stage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Prospects</c:v>
          </c:tx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'Dashboard'!$B$15:$B$19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67885e026f4f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ructorPipelineTable" displayName="InstructorPipelineTable" ref="A5:AA115" headerRowCount="1" totalsRowCount="0" totalsRowShown="0">
  <x:tableColumns count="27">
    <x:tableColumn id="1" name="Prospect ID"/>
    <x:tableColumn id="2" name="Instructor / Business"/>
    <x:tableColumn id="3" name="Contact name"/>
    <x:tableColumn id="4" name="Region"/>
    <x:tableColumn id="5" name="State"/>
    <x:tableColumn id="6" name="Record type"/>
    <x:tableColumn id="7" name="Style / offering"/>
    <x:tableColumn id="8" name="Priority"/>
    <x:tableColumn id="9" name="Pipeline stage"/>
    <x:tableColumn id="10" name="Preferred channel"/>
    <x:tableColumn id="11" name="Email"/>
    <x:tableColumn id="12" name="Email status"/>
    <x:tableColumn id="13" name="Instagram"/>
    <x:tableColumn id="14" name="TikTok"/>
    <x:tableColumn id="15" name="Website"/>
    <x:tableColumn id="16" name="Source URL"/>
    <x:tableColumn id="17" name="Why fit / personalization"/>
    <x:tableColumn id="18" name="Research confidence"/>
    <x:tableColumn id="19" name="Research date"/>
    <x:tableColumn id="20" name="First touch date"/>
    <x:tableColumn id="21" name="Last touch date"/>
    <x:tableColumn id="22" name="Next action date"/>
    <x:tableColumn id="23" name="Next action"/>
    <x:tableColumn id="24" name="Reply outcome"/>
    <x:tableColumn id="25" name="Participation decision"/>
    <x:tableColumn id="26" name="Do not contact"/>
    <x:tableColumn id="27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ityTopTenTable" displayName="CityTopTenTable" ref="A5:M115" headerRowCount="1" totalsRowCount="0" totalsRowShown="0">
  <x:tableColumns count="13">
    <x:tableColumn id="1" name="Region"/>
    <x:tableColumn id="2" name="Rank"/>
    <x:tableColumn id="3" name="Instructor"/>
    <x:tableColumn id="4" name="Affiliation"/>
    <x:tableColumn id="5" name="Email"/>
    <x:tableColumn id="6" name="Instagram"/>
    <x:tableColumn id="7" name="TikTok"/>
    <x:tableColumn id="8" name="Preferred channel"/>
    <x:tableColumn id="9" name="Popularity / visibility signal"/>
    <x:tableColumn id="10" name="Source URL"/>
    <x:tableColumn id="11" name="Research confidence"/>
    <x:tableColumn id="12" name="Research date"/>
    <x:tableColumn id="13" name="Contact 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ontentSignupTable" displayName="ContentSignupTable" ref="A5:W115" headerRowCount="1" totalsRowCount="0" totalsRowShown="0">
  <x:tableColumns count="23">
    <x:tableColumn id="1" name="Prospect ID"/>
    <x:tableColumn id="2" name="Instructor / Business"/>
    <x:tableColumn id="3" name="Region"/>
    <x:tableColumn id="4" name="Participation decision"/>
    <x:tableColumn id="5" name="Content permission"/>
    <x:tableColumn id="6" name="Content format"/>
    <x:tableColumn id="7" name="Brief sent date"/>
    <x:tableColumn id="8" name="Due date"/>
    <x:tableColumn id="9" name="Asset received"/>
    <x:tableColumn id="10" name="Approved"/>
    <x:tableColumn id="11" name="Posted"/>
    <x:tableColumn id="12" name="Post date"/>
    <x:tableColumn id="13" name="Post URL"/>
    <x:tableColumn id="14" name="Tagged HLD"/>
    <x:tableColumn id="15" name="Signup link sent"/>
    <x:tableColumn id="16" name="Signup started"/>
    <x:tableColumn id="17" name="Signup completed"/>
    <x:tableColumn id="18" name="Profile submitted"/>
    <x:tableColumn id="19" name="Profile status"/>
    <x:tableColumn id="20" name="Public profile URL"/>
    <x:tableColumn id="21" name="Membership status"/>
    <x:tableColumn id="22" name="Overall status"/>
    <x:tableColumn id="23" name="Follow-up 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gionsTable" displayName="RegionsTable" ref="A5:M16" headerRowCount="1" totalsRowCount="0" totalsRowShown="0">
  <x:tableColumns count="13">
    <x:tableColumn id="1" name="Region"/>
    <x:tableColumn id="2" name="State"/>
    <x:tableColumn id="3" name="Market priority"/>
    <x:tableColumn id="4" name="Target prospects"/>
    <x:tableColumn id="5" name="Researched"/>
    <x:tableColumn id="6" name="Contacted"/>
    <x:tableColumn id="7" name="Agreed"/>
    <x:tableColumn id="8" name="Content posted"/>
    <x:tableColumn id="9" name="Signed up"/>
    <x:tableColumn id="10" name="Published"/>
    <x:tableColumn id="11" name="Remaining target"/>
    <x:tableColumn id="12" name="Next market move"/>
    <x:tableColumn id="13" name="City page UR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WorkflowGuideTable" displayName="WorkflowGuideTable" ref="A4:D13" headerRowCount="1" totalsRowCount="0" totalsRowShown="0">
  <x:tableColumns count="4">
    <x:tableColumn id="1" name="Stage"/>
    <x:tableColumn id="2" name="Use when"/>
    <x:tableColumn id="3" name="Default next action"/>
    <x:tableColumn id="4" name="Guardrai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MetricDefinitionsTable" displayName="MetricDefinitionsTable" ref="A16:D21" headerRowCount="1" totalsRowCount="0" totalsRowShown="0">
  <x:tableColumns count="4">
    <x:tableColumn id="1" name="Metric"/>
    <x:tableColumn id="2" name="Definition"/>
    <x:tableColumn id="3" name="Owner action"/>
    <x:tableColumn id="4" name="Common mistak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576db083944d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28657e47ce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b7460d8f5a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0ca9e8f25042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7aa81d35144d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1e4f91eebc4336" /><Relationship Type="http://schemas.openxmlformats.org/officeDocument/2006/relationships/table" Target="/xl/tables/table6.xml" Id="Rb564d14612a643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  <x:col min="3" max="3" width="8.670000076293945" hidden="0" customWidth="1"/>
    <x:col min="4" max="4" width="8.670000076293945" hidden="0" customWidth="1"/>
    <x:col min="5" max="5" width="8.670000076293945" hidden="0" customWidth="1"/>
    <x:col min="6" max="6" width="8.670000076293945" hidden="0" customWidth="1"/>
    <x:col min="7" max="7" width="8.670000076293945" hidden="0" customWidth="1"/>
    <x:col min="8" max="8" width="8.670000076293945" hidden="0" customWidth="1"/>
    <x:col min="9" max="9" width="8.670000076293945" hidden="0" customWidth="1"/>
    <x:col min="10" max="10" width="8.670000076293945" hidden="0" customWidth="1"/>
    <x:col min="11" max="11" width="8.670000076293945" hidden="0" customWidth="1"/>
    <x:col min="12" max="12" width="18.329999923706055" hidden="0" customWidth="1"/>
    <x:col min="13" max="13" width="9.329999923706055" hidden="0" customWidth="1"/>
    <x:col min="14" max="14" width="9.329999923706055" hidden="0" customWidth="1"/>
    <x:col min="15" max="15" width="9.329999923706055" hidden="0" customWidth="1"/>
    <x:col min="16" max="16" width="9.329999923706055" hidden="0" customWidth="1"/>
    <x:col min="17" max="17" width="9.329999923706055" hidden="0" customWidth="1"/>
  </x:cols>
  <x:sheetData>
    <x:row r="1" ht="30" customHeight="1">
      <x:c r="A1" s="4" t="str">
        <x:v>Instructor Outreach Dashboard</x:v>
      </x:c>
      <x:c r="B1" s="4" t="str">
        <x:v>Instructor Outreach Dashboard</x:v>
      </x:c>
      <x:c r="C1" s="4" t="str">
        <x:v>Instructor Outreach Dashboard</x:v>
      </x:c>
      <x:c r="D1" s="4" t="str">
        <x:v>Instructor Outreach Dashboard</x:v>
      </x:c>
      <x:c r="E1" s="4" t="str">
        <x:v>Instructor Outreach Dashboard</x:v>
      </x:c>
      <x:c r="F1" s="4" t="str">
        <x:v>Instructor Outreach Dashboard</x:v>
      </x:c>
      <x:c r="G1" s="4" t="str">
        <x:v>Instructor Outreach Dashboard</x:v>
      </x:c>
      <x:c r="H1" s="4" t="str">
        <x:v>Instructor Outreach Dashboard</x:v>
      </x:c>
      <x:c r="I1" s="4" t="str">
        <x:v>Instructor Outreach Dashboard</x:v>
      </x:c>
      <x:c r="J1" s="4" t="str">
        <x:v>Instructor Outreach Dashboard</x:v>
      </x:c>
      <x:c r="K1" s="4" t="str">
        <x:v>Instructor Outreach Dashboard</x:v>
      </x:c>
      <x:c r="L1" s="4" t="str">
        <x:v>Instructor Outreach Dashboard</x:v>
      </x:c>
      <x:c r="M1" s="4" t="str">
        <x:v>Instructor Outreach Dashboard</x:v>
      </x:c>
      <x:c r="N1" s="4" t="str">
        <x:v>Instructor Outreach Dashboard</x:v>
      </x:c>
      <x:c r="O1" s="4" t="str">
        <x:v>Instructor Outreach Dashboard</x:v>
      </x:c>
      <x:c r="P1" s="4" t="str">
        <x:v>Instructor Outreach Dashboard</x:v>
      </x:c>
      <x:c r="Q1" s="4" t="str">
        <x:v>Instructor Outreach Dashboard</x:v>
      </x:c>
    </x:row>
    <x:row r="2" ht="22.5" customHeight="1">
      <x:c r="A2" s="8" t="str">
        <x:v>A live view of research coverage, manual outreach, content participation, signup, and published profiles across the 11 launch regions.</x:v>
      </x:c>
      <x:c r="B2" s="8" t="str">
        <x:v>A live view of research coverage, manual outreach, content participation, signup, and published profiles across the 11 launch regions.</x:v>
      </x:c>
      <x:c r="C2" s="8" t="str">
        <x:v>A live view of research coverage, manual outreach, content participation, signup, and published profiles across the 11 launch regions.</x:v>
      </x:c>
      <x:c r="D2" s="8" t="str">
        <x:v>A live view of research coverage, manual outreach, content participation, signup, and published profiles across the 11 launch regions.</x:v>
      </x:c>
      <x:c r="E2" s="8" t="str">
        <x:v>A live view of research coverage, manual outreach, content participation, signup, and published profiles across the 11 launch regions.</x:v>
      </x:c>
      <x:c r="F2" s="8" t="str">
        <x:v>A live view of research coverage, manual outreach, content participation, signup, and published profiles across the 11 launch regions.</x:v>
      </x:c>
      <x:c r="G2" s="8" t="str">
        <x:v>A live view of research coverage, manual outreach, content participation, signup, and published profiles across the 11 launch regions.</x:v>
      </x:c>
      <x:c r="H2" s="8" t="str">
        <x:v>A live view of research coverage, manual outreach, content participation, signup, and published profiles across the 11 launch regions.</x:v>
      </x:c>
      <x:c r="I2" s="8" t="str">
        <x:v>A live view of research coverage, manual outreach, content participation, signup, and published profiles across the 11 launch regions.</x:v>
      </x:c>
      <x:c r="J2" s="8" t="str">
        <x:v>A live view of research coverage, manual outreach, content participation, signup, and published profiles across the 11 launch regions.</x:v>
      </x:c>
      <x:c r="K2" s="8" t="str">
        <x:v>A live view of research coverage, manual outreach, content participation, signup, and published profiles across the 11 launch regions.</x:v>
      </x:c>
      <x:c r="L2" s="8" t="str">
        <x:v>A live view of research coverage, manual outreach, content participation, signup, and published profiles across the 11 launch regions.</x:v>
      </x:c>
      <x:c r="M2" s="8" t="str">
        <x:v>A live view of research coverage, manual outreach, content participation, signup, and published profiles across the 11 launch regions.</x:v>
      </x:c>
      <x:c r="N2" s="8" t="str">
        <x:v>A live view of research coverage, manual outreach, content participation, signup, and published profiles across the 11 launch regions.</x:v>
      </x:c>
      <x:c r="O2" s="8" t="str">
        <x:v>A live view of research coverage, manual outreach, content participation, signup, and published profiles across the 11 launch regions.</x:v>
      </x:c>
      <x:c r="P2" s="8" t="str">
        <x:v>A live view of research coverage, manual outreach, content participation, signup, and published profiles across the 11 launch regions.</x:v>
      </x:c>
      <x:c r="Q2" s="8" t="str">
        <x:v>A live view of research coverage, manual outreach, content participation, signup, and published profiles across the 11 launch regions.</x:v>
      </x:c>
    </x:row>
    <x:row r="4">
      <x:c r="A4" s="35" t="str">
        <x:v>Total prospects</x:v>
      </x:c>
      <x:c r="B4" s="36" t="str">
        <x:v>Total prospects</x:v>
      </x:c>
      <x:c r="C4" s="35" t="str">
        <x:v>Contacted</x:v>
      </x:c>
      <x:c r="D4" s="36" t="str">
        <x:v>Contacted</x:v>
      </x:c>
      <x:c r="E4" s="35" t="str">
        <x:v>Positive replies</x:v>
      </x:c>
      <x:c r="F4" s="36" t="str">
        <x:v>Positive replies</x:v>
      </x:c>
      <x:c r="G4" s="35" t="str">
        <x:v>Agreed</x:v>
      </x:c>
      <x:c r="H4" s="36" t="str">
        <x:v>Agreed</x:v>
      </x:c>
      <x:c r="I4" s="35" t="str">
        <x:v>Content posted</x:v>
      </x:c>
      <x:c r="J4" s="36" t="str">
        <x:v>Content posted</x:v>
      </x:c>
      <x:c r="K4" s="35" t="str">
        <x:v>Signed up</x:v>
      </x:c>
      <x:c r="L4" s="36" t="str">
        <x:v>Signed up</x:v>
      </x:c>
      <x:c r="M4" s="35" t="str">
        <x:v>Published</x:v>
      </x:c>
      <x:c r="N4" s="36" t="str">
        <x:v>Published</x:v>
      </x:c>
      <x:c r="O4" s="35" t="str">
        <x:v>Overdue follow-ups</x:v>
      </x:c>
      <x:c r="P4" s="117" t="str">
        <x:v>Overdue follow-ups</x:v>
      </x:c>
      <x:c r="Q4" s="36" t="str">
        <x:v>Overdue follow-ups</x:v>
      </x:c>
    </x:row>
    <x:row r="5">
      <x:c r="A5" s="50" t="n">
        <x:f>COUNTA('Instructor Pipeline'!$A$6:$A$115)</x:f>
        <x:v>110</x:v>
      </x:c>
      <x:c r="B5" s="51"/>
      <x:c r="C5" s="69" t="n">
        <x:f>COUNTIFS('Instructor Pipeline'!$T$6:$T$115,"&lt;&gt;")</x:f>
        <x:v>0</x:v>
      </x:c>
      <x:c r="D5" s="70"/>
      <x:c r="E5" s="69" t="n">
        <x:f>COUNTIF('Instructor Pipeline'!$X$6:$X$115,"Positive")</x:f>
        <x:v>0</x:v>
      </x:c>
      <x:c r="F5" s="70"/>
      <x:c r="G5" s="89" t="n">
        <x:f>COUNTIF('Instructor Pipeline'!$Y$6:$Y$115,"Yes")</x:f>
        <x:v>0</x:v>
      </x:c>
      <x:c r="H5" s="90"/>
      <x:c r="I5" s="109" t="n">
        <x:f>COUNTIF('Content &amp; Signup'!$K$6:$K$115,"Yes")</x:f>
        <x:v>0</x:v>
      </x:c>
      <x:c r="J5" s="110"/>
      <x:c r="K5" s="89" t="n">
        <x:f>COUNTIF('Content &amp; Signup'!$Q$6:$Q$115,"Yes")</x:f>
        <x:v>0</x:v>
      </x:c>
      <x:c r="L5" s="90"/>
      <x:c r="M5" s="89" t="n">
        <x:f>COUNTIF('Content &amp; Signup'!$S$6:$S$115,"Published")</x:f>
        <x:v>0</x:v>
      </x:c>
      <x:c r="N5" s="90"/>
      <x:c r="O5" s="137" t="n">
        <x:f>COUNTIFS('Instructor Pipeline'!$V$6:$V$115,"&lt;"&amp;TODAY(),'Instructor Pipeline'!$V$6:$V$115,"&lt;&gt;",'Instructor Pipeline'!$Z$6:$Z$115,"&lt;&gt;Yes",'Instructor Pipeline'!$I$6:$I$115,"&lt;&gt;Do not contact")</x:f>
        <x:v>0</x:v>
      </x:c>
      <x:c r="P5" s="138"/>
      <x:c r="Q5" s="139"/>
    </x:row>
    <x:row r="6">
      <x:c r="A6" s="52"/>
      <x:c r="B6" s="53"/>
      <x:c r="C6" s="71"/>
      <x:c r="D6" s="72"/>
      <x:c r="E6" s="71"/>
      <x:c r="F6" s="72"/>
      <x:c r="G6" s="91"/>
      <x:c r="H6" s="92"/>
      <x:c r="I6" s="111"/>
      <x:c r="J6" s="112"/>
      <x:c r="K6" s="91"/>
      <x:c r="L6" s="92"/>
      <x:c r="M6" s="91"/>
      <x:c r="N6" s="92"/>
      <x:c r="O6" s="140"/>
      <x:c r="P6" s="141"/>
      <x:c r="Q6" s="142"/>
    </x:row>
    <x:row r="7">
      <x:c r="A7" s="54"/>
      <x:c r="B7" s="55"/>
      <x:c r="C7" s="73"/>
      <x:c r="D7" s="74"/>
      <x:c r="E7" s="73"/>
      <x:c r="F7" s="74"/>
      <x:c r="G7" s="93"/>
      <x:c r="H7" s="94"/>
      <x:c r="I7" s="113"/>
      <x:c r="J7" s="114"/>
      <x:c r="K7" s="93"/>
      <x:c r="L7" s="94"/>
      <x:c r="M7" s="93"/>
      <x:c r="N7" s="94"/>
      <x:c r="O7" s="143"/>
      <x:c r="P7" s="144"/>
      <x:c r="Q7" s="145"/>
    </x:row>
    <x:row r="9">
      <x:c r="A9" s="153" t="str">
        <x:v>Contact rate</x:v>
      </x:c>
      <x:c r="B9" s="154" t="str">
        <x:v>Contact rate</x:v>
      </x:c>
      <x:c r="C9" s="154" t="str">
        <x:v>Contact rate</x:v>
      </x:c>
      <x:c r="D9" s="155" t="str">
        <x:v>Contact rate</x:v>
      </x:c>
      <x:c r="E9" s="153" t="str">
        <x:v>Agreement rate from contacts</x:v>
      </x:c>
      <x:c r="F9" s="154" t="str">
        <x:v>Agreement rate from contacts</x:v>
      </x:c>
      <x:c r="G9" s="154" t="str">
        <x:v>Agreement rate from contacts</x:v>
      </x:c>
      <x:c r="H9" s="155" t="str">
        <x:v>Agreement rate from contacts</x:v>
      </x:c>
      <x:c r="I9" s="153" t="str">
        <x:v>Signup rate from agreements</x:v>
      </x:c>
      <x:c r="J9" s="154" t="str">
        <x:v>Signup rate from agreements</x:v>
      </x:c>
      <x:c r="K9" s="154" t="str">
        <x:v>Signup rate from agreements</x:v>
      </x:c>
      <x:c r="L9" s="155" t="str">
        <x:v>Signup rate from agreements</x:v>
      </x:c>
      <x:c r="M9" s="153" t="str">
        <x:v>Publish rate from signups</x:v>
      </x:c>
      <x:c r="N9" s="154" t="str">
        <x:v>Publish rate from signups</x:v>
      </x:c>
      <x:c r="O9" s="154" t="str">
        <x:v>Publish rate from signups</x:v>
      </x:c>
      <x:c r="P9" s="154" t="str">
        <x:v>Publish rate from signups</x:v>
      </x:c>
      <x:c r="Q9" s="155" t="str">
        <x:v>Publish rate from signups</x:v>
      </x:c>
    </x:row>
    <x:row r="10">
      <x:c r="A10" s="171" t="n">
        <x:f>IFERROR(C5/A5,0)</x:f>
        <x:v>0</x:v>
      </x:c>
      <x:c r="B10" s="172"/>
      <x:c r="C10" s="172"/>
      <x:c r="D10" s="173"/>
      <x:c r="E10" s="171" t="n">
        <x:f>IFERROR(G5/C5,0)</x:f>
        <x:v>0</x:v>
      </x:c>
      <x:c r="F10" s="172"/>
      <x:c r="G10" s="172"/>
      <x:c r="H10" s="173"/>
      <x:c r="I10" s="171" t="n">
        <x:f>IFERROR(K5/G5,0)</x:f>
        <x:v>0</x:v>
      </x:c>
      <x:c r="J10" s="172"/>
      <x:c r="K10" s="172"/>
      <x:c r="L10" s="173"/>
      <x:c r="M10" s="171" t="n">
        <x:f>IFERROR(M5/K5,0)</x:f>
        <x:v>0</x:v>
      </x:c>
      <x:c r="N10" s="172"/>
      <x:c r="O10" s="172"/>
      <x:c r="P10" s="172"/>
      <x:c r="Q10" s="173"/>
    </x:row>
    <x:row r="11">
      <x:c r="A11" s="174"/>
      <x:c r="B11" s="175"/>
      <x:c r="C11" s="175"/>
      <x:c r="D11" s="176"/>
      <x:c r="E11" s="174"/>
      <x:c r="F11" s="175"/>
      <x:c r="G11" s="175"/>
      <x:c r="H11" s="176"/>
      <x:c r="I11" s="174"/>
      <x:c r="J11" s="175"/>
      <x:c r="K11" s="175"/>
      <x:c r="L11" s="176"/>
      <x:c r="M11" s="174"/>
      <x:c r="N11" s="175"/>
      <x:c r="O11" s="175"/>
      <x:c r="P11" s="175"/>
      <x:c r="Q11" s="176"/>
    </x:row>
    <x:row r="14" ht="25.5" customHeight="1">
      <x:c r="A14" s="18" t="str">
        <x:v>Funnel stage</x:v>
      </x:c>
      <x:c r="B14" s="18" t="str">
        <x:v>Prospects</x:v>
      </x:c>
      <x:c r="L14" s="18" t="str">
        <x:v>Region</x:v>
      </x:c>
      <x:c r="M14" s="18" t="str">
        <x:v>Researched</x:v>
      </x:c>
      <x:c r="N14" s="18" t="str">
        <x:v>Contacted</x:v>
      </x:c>
      <x:c r="O14" s="18" t="str">
        <x:v>Agreed</x:v>
      </x:c>
      <x:c r="P14" s="18" t="str">
        <x:v>Signed up</x:v>
      </x:c>
      <x:c r="Q14" s="18" t="str">
        <x:v>Remaining</x:v>
      </x:c>
    </x:row>
    <x:row r="15">
      <x:c r="A15" s="23" t="str">
        <x:v>Researched</x:v>
      </x:c>
      <x:c r="B15" s="23" t="n">
        <x:f>A5</x:f>
        <x:v>110</x:v>
      </x:c>
      <x:c r="L15" s="177" t="str">
        <x:f>'Regions'!A6</x:f>
        <x:v>Nashville</x:v>
      </x:c>
      <x:c r="M15" s="23" t="n">
        <x:f>'Regions'!E6</x:f>
        <x:v>10</x:v>
      </x:c>
      <x:c r="N15" s="23" t="n">
        <x:f>'Regions'!F6</x:f>
        <x:v>0</x:v>
      </x:c>
      <x:c r="O15" s="23" t="n">
        <x:f>'Regions'!G6</x:f>
        <x:v>0</x:v>
      </x:c>
      <x:c r="P15" s="23" t="n">
        <x:f>'Regions'!I6</x:f>
        <x:v>0</x:v>
      </x:c>
      <x:c r="Q15" s="23" t="n">
        <x:f>'Regions'!K6</x:f>
        <x:v>0</x:v>
      </x:c>
    </x:row>
    <x:row r="16">
      <x:c r="A16" s="23" t="str">
        <x:v>Contacted</x:v>
      </x:c>
      <x:c r="B16" s="23" t="n">
        <x:f>C5</x:f>
        <x:v>0</x:v>
      </x:c>
      <x:c r="L16" s="177" t="str">
        <x:f>'Regions'!A7</x:f>
        <x:v>Fort Worth</x:v>
      </x:c>
      <x:c r="M16" s="23" t="n">
        <x:f>'Regions'!E7</x:f>
        <x:v>10</x:v>
      </x:c>
      <x:c r="N16" s="23" t="n">
        <x:f>'Regions'!F7</x:f>
        <x:v>0</x:v>
      </x:c>
      <x:c r="O16" s="23" t="n">
        <x:f>'Regions'!G7</x:f>
        <x:v>0</x:v>
      </x:c>
      <x:c r="P16" s="23" t="n">
        <x:f>'Regions'!I7</x:f>
        <x:v>0</x:v>
      </x:c>
      <x:c r="Q16" s="23" t="n">
        <x:f>'Regions'!K7</x:f>
        <x:v>0</x:v>
      </x:c>
    </x:row>
    <x:row r="17">
      <x:c r="A17" s="23" t="str">
        <x:v>Agreed</x:v>
      </x:c>
      <x:c r="B17" s="23" t="n">
        <x:f>G5</x:f>
        <x:v>0</x:v>
      </x:c>
      <x:c r="L17" s="177" t="str">
        <x:f>'Regions'!A8</x:f>
        <x:v>Austin</x:v>
      </x:c>
      <x:c r="M17" s="23" t="n">
        <x:f>'Regions'!E8</x:f>
        <x:v>10</x:v>
      </x:c>
      <x:c r="N17" s="23" t="n">
        <x:f>'Regions'!F8</x:f>
        <x:v>0</x:v>
      </x:c>
      <x:c r="O17" s="23" t="n">
        <x:f>'Regions'!G8</x:f>
        <x:v>0</x:v>
      </x:c>
      <x:c r="P17" s="23" t="n">
        <x:f>'Regions'!I8</x:f>
        <x:v>0</x:v>
      </x:c>
      <x:c r="Q17" s="23" t="n">
        <x:f>'Regions'!K8</x:f>
        <x:v>0</x:v>
      </x:c>
    </x:row>
    <x:row r="18">
      <x:c r="A18" s="23" t="str">
        <x:v>Signed up</x:v>
      </x:c>
      <x:c r="B18" s="23" t="n">
        <x:f>K5</x:f>
        <x:v>0</x:v>
      </x:c>
      <x:c r="L18" s="177" t="str">
        <x:f>'Regions'!A9</x:f>
        <x:v>Dallas</x:v>
      </x:c>
      <x:c r="M18" s="23" t="n">
        <x:f>'Regions'!E9</x:f>
        <x:v>10</x:v>
      </x:c>
      <x:c r="N18" s="23" t="n">
        <x:f>'Regions'!F9</x:f>
        <x:v>0</x:v>
      </x:c>
      <x:c r="O18" s="23" t="n">
        <x:f>'Regions'!G9</x:f>
        <x:v>0</x:v>
      </x:c>
      <x:c r="P18" s="23" t="n">
        <x:f>'Regions'!I9</x:f>
        <x:v>0</x:v>
      </x:c>
      <x:c r="Q18" s="23" t="n">
        <x:f>'Regions'!K9</x:f>
        <x:v>0</x:v>
      </x:c>
    </x:row>
    <x:row r="19">
      <x:c r="A19" s="23" t="str">
        <x:v>Published</x:v>
      </x:c>
      <x:c r="B19" s="23" t="n">
        <x:f>M5</x:f>
        <x:v>0</x:v>
      </x:c>
      <x:c r="L19" s="177" t="str">
        <x:f>'Regions'!A10</x:f>
        <x:v>Houston</x:v>
      </x:c>
      <x:c r="M19" s="23" t="n">
        <x:f>'Regions'!E10</x:f>
        <x:v>10</x:v>
      </x:c>
      <x:c r="N19" s="23" t="n">
        <x:f>'Regions'!F10</x:f>
        <x:v>0</x:v>
      </x:c>
      <x:c r="O19" s="23" t="n">
        <x:f>'Regions'!G10</x:f>
        <x:v>0</x:v>
      </x:c>
      <x:c r="P19" s="23" t="n">
        <x:f>'Regions'!I10</x:f>
        <x:v>0</x:v>
      </x:c>
      <x:c r="Q19" s="23" t="n">
        <x:f>'Regions'!K10</x:f>
        <x:v>0</x:v>
      </x:c>
    </x:row>
    <x:row r="20">
      <x:c r="L20" s="177" t="str">
        <x:f>'Regions'!A11</x:f>
        <x:v>San Francisco Bay Area</x:v>
      </x:c>
      <x:c r="M20" s="23" t="n">
        <x:f>'Regions'!E11</x:f>
        <x:v>10</x:v>
      </x:c>
      <x:c r="N20" s="23" t="n">
        <x:f>'Regions'!F11</x:f>
        <x:v>0</x:v>
      </x:c>
      <x:c r="O20" s="23" t="n">
        <x:f>'Regions'!G11</x:f>
        <x:v>0</x:v>
      </x:c>
      <x:c r="P20" s="23" t="n">
        <x:f>'Regions'!I11</x:f>
        <x:v>0</x:v>
      </x:c>
      <x:c r="Q20" s="23" t="n">
        <x:f>'Regions'!K11</x:f>
        <x:v>0</x:v>
      </x:c>
    </x:row>
    <x:row r="21">
      <x:c r="L21" s="177" t="str">
        <x:f>'Regions'!A12</x:f>
        <x:v>New York City metro</x:v>
      </x:c>
      <x:c r="M21" s="23" t="n">
        <x:f>'Regions'!E12</x:f>
        <x:v>10</x:v>
      </x:c>
      <x:c r="N21" s="23" t="n">
        <x:f>'Regions'!F12</x:f>
        <x:v>0</x:v>
      </x:c>
      <x:c r="O21" s="23" t="n">
        <x:f>'Regions'!G12</x:f>
        <x:v>0</x:v>
      </x:c>
      <x:c r="P21" s="23" t="n">
        <x:f>'Regions'!I12</x:f>
        <x:v>0</x:v>
      </x:c>
      <x:c r="Q21" s="23" t="n">
        <x:f>'Regions'!K12</x:f>
        <x:v>0</x:v>
      </x:c>
    </x:row>
    <x:row r="22">
      <x:c r="L22" s="177" t="str">
        <x:f>'Regions'!A13</x:f>
        <x:v>Phoenix and Scottsdale</x:v>
      </x:c>
      <x:c r="M22" s="23" t="n">
        <x:f>'Regions'!E13</x:f>
        <x:v>10</x:v>
      </x:c>
      <x:c r="N22" s="23" t="n">
        <x:f>'Regions'!F13</x:f>
        <x:v>0</x:v>
      </x:c>
      <x:c r="O22" s="23" t="n">
        <x:f>'Regions'!G13</x:f>
        <x:v>0</x:v>
      </x:c>
      <x:c r="P22" s="23" t="n">
        <x:f>'Regions'!I13</x:f>
        <x:v>0</x:v>
      </x:c>
      <x:c r="Q22" s="23" t="n">
        <x:f>'Regions'!K13</x:f>
        <x:v>0</x:v>
      </x:c>
    </x:row>
    <x:row r="23">
      <x:c r="L23" s="177" t="str">
        <x:f>'Regions'!A14</x:f>
        <x:v>Atlanta</x:v>
      </x:c>
      <x:c r="M23" s="23" t="n">
        <x:f>'Regions'!E14</x:f>
        <x:v>10</x:v>
      </x:c>
      <x:c r="N23" s="23" t="n">
        <x:f>'Regions'!F14</x:f>
        <x:v>0</x:v>
      </x:c>
      <x:c r="O23" s="23" t="n">
        <x:f>'Regions'!G14</x:f>
        <x:v>0</x:v>
      </x:c>
      <x:c r="P23" s="23" t="n">
        <x:f>'Regions'!I14</x:f>
        <x:v>0</x:v>
      </x:c>
      <x:c r="Q23" s="23" t="n">
        <x:f>'Regions'!K14</x:f>
        <x:v>0</x:v>
      </x:c>
    </x:row>
    <x:row r="24">
      <x:c r="L24" s="177" t="str">
        <x:f>'Regions'!A15</x:f>
        <x:v>Charlotte</x:v>
      </x:c>
      <x:c r="M24" s="23" t="n">
        <x:f>'Regions'!E15</x:f>
        <x:v>10</x:v>
      </x:c>
      <x:c r="N24" s="23" t="n">
        <x:f>'Regions'!F15</x:f>
        <x:v>0</x:v>
      </x:c>
      <x:c r="O24" s="23" t="n">
        <x:f>'Regions'!G15</x:f>
        <x:v>0</x:v>
      </x:c>
      <x:c r="P24" s="23" t="n">
        <x:f>'Regions'!I15</x:f>
        <x:v>0</x:v>
      </x:c>
      <x:c r="Q24" s="23" t="n">
        <x:f>'Regions'!K15</x:f>
        <x:v>0</x:v>
      </x:c>
    </x:row>
    <x:row r="25">
      <x:c r="L25" s="177" t="str">
        <x:f>'Regions'!A16</x:f>
        <x:v>Las Vegas</x:v>
      </x:c>
      <x:c r="M25" s="23" t="n">
        <x:f>'Regions'!E16</x:f>
        <x:v>10</x:v>
      </x:c>
      <x:c r="N25" s="23" t="n">
        <x:f>'Regions'!F16</x:f>
        <x:v>0</x:v>
      </x:c>
      <x:c r="O25" s="23" t="n">
        <x:f>'Regions'!G16</x:f>
        <x:v>0</x:v>
      </x:c>
      <x:c r="P25" s="23" t="n">
        <x:f>'Regions'!I16</x:f>
        <x:v>0</x:v>
      </x:c>
      <x:c r="Q25" s="23" t="n">
        <x:f>'Regions'!K16</x:f>
        <x:v>0</x:v>
      </x:c>
    </x:row>
    <x:row r="30" ht="25.5" customHeight="1">
      <x:c r="A30" s="18" t="str">
        <x:v>Next working session</x:v>
      </x:c>
      <x:c r="B30" s="18" t="str">
        <x:v>Next working session</x:v>
      </x:c>
      <x:c r="C30" s="18" t="str">
        <x:v>Next working session</x:v>
      </x:c>
      <x:c r="D30" s="18" t="str">
        <x:v>Next working session</x:v>
      </x:c>
      <x:c r="E30" s="18" t="str">
        <x:v>Next working session</x:v>
      </x:c>
      <x:c r="F30" s="18" t="str">
        <x:v>Next working session</x:v>
      </x:c>
      <x:c r="G30" s="18" t="str">
        <x:v>Next working session</x:v>
      </x:c>
      <x:c r="H30" s="18" t="str">
        <x:v>Next working session</x:v>
      </x:c>
      <x:c r="I30" s="18" t="str">
        <x:v>Next working session</x:v>
      </x:c>
      <x:c r="J30" s="18" t="str">
        <x:v>Next working session</x:v>
      </x:c>
      <x:c r="K30" s="18" t="str">
        <x:v>Next working session</x:v>
      </x:c>
      <x:c r="L30" s="18" t="str">
        <x:v>Next working session</x:v>
      </x:c>
      <x:c r="M30" s="18" t="str">
        <x:v>Next working session</x:v>
      </x:c>
      <x:c r="N30" s="18" t="str">
        <x:v>Next working session</x:v>
      </x:c>
      <x:c r="O30" s="18" t="str">
        <x:v>Next working session</x:v>
      </x:c>
      <x:c r="P30" s="18" t="str">
        <x:v>Next working session</x:v>
      </x:c>
      <x:c r="Q30" s="18" t="str">
        <x:v>Next working session</x:v>
      </x:c>
    </x:row>
    <x:row r="31" ht="25.5" customHeight="1">
      <x:c r="A31" s="184" t="str">
        <x:v>1</x:v>
      </x:c>
      <x:c r="B31" s="181" t="str">
        <x:v>Filter the Instructor Pipeline to P1 and verify the preferred public channel before any message.</x:v>
      </x:c>
      <x:c r="C31" s="181" t="str"/>
      <x:c r="D31" s="181" t="str"/>
      <x:c r="E31" s="181" t="str"/>
      <x:c r="F31" s="181" t="str"/>
      <x:c r="G31" s="181" t="str"/>
      <x:c r="H31" s="181" t="str"/>
      <x:c r="I31" s="181" t="str"/>
      <x:c r="J31" s="181" t="str"/>
      <x:c r="K31" s="181" t="str"/>
      <x:c r="L31" s="181" t="str"/>
      <x:c r="M31" s="181" t="str"/>
      <x:c r="N31" s="181" t="str"/>
      <x:c r="O31" s="181" t="str"/>
      <x:c r="P31" s="181" t="str"/>
      <x:c r="Q31" s="181" t="str"/>
    </x:row>
    <x:row r="32" ht="25.5" customHeight="1">
      <x:c r="A32" s="184" t="str">
        <x:v>2</x:v>
      </x:c>
      <x:c r="B32" s="181" t="str">
        <x:v>Personalize around the instructor's region, event offer, and why Hire Line Dancers is relevant.</x:v>
      </x:c>
      <x:c r="C32" s="181" t="str"/>
      <x:c r="D32" s="181" t="str"/>
      <x:c r="E32" s="181" t="str"/>
      <x:c r="F32" s="181" t="str"/>
      <x:c r="G32" s="181" t="str"/>
      <x:c r="H32" s="181" t="str"/>
      <x:c r="I32" s="181" t="str"/>
      <x:c r="J32" s="181" t="str"/>
      <x:c r="K32" s="181" t="str"/>
      <x:c r="L32" s="181" t="str"/>
      <x:c r="M32" s="181" t="str"/>
      <x:c r="N32" s="181" t="str"/>
      <x:c r="O32" s="181" t="str"/>
      <x:c r="P32" s="181" t="str"/>
      <x:c r="Q32" s="181" t="str"/>
    </x:row>
    <x:row r="33" ht="25.5" customHeight="1">
      <x:c r="A33" s="184" t="str">
        <x:v>3</x:v>
      </x:c>
      <x:c r="B33" s="181" t="str">
        <x:v>After each manual contact, record First touch, Pipeline stage, and a dated Next action.</x:v>
      </x:c>
      <x:c r="C33" s="181" t="str"/>
      <x:c r="D33" s="181" t="str"/>
      <x:c r="E33" s="181" t="str"/>
      <x:c r="F33" s="181" t="str"/>
      <x:c r="G33" s="181" t="str"/>
      <x:c r="H33" s="181" t="str"/>
      <x:c r="I33" s="181" t="str"/>
      <x:c r="J33" s="181" t="str"/>
      <x:c r="K33" s="181" t="str"/>
      <x:c r="L33" s="181" t="str"/>
      <x:c r="M33" s="181" t="str"/>
      <x:c r="N33" s="181" t="str"/>
      <x:c r="O33" s="181" t="str"/>
      <x:c r="P33" s="181" t="str"/>
      <x:c r="Q33" s="181" t="str"/>
    </x:row>
    <x:row r="34" ht="25.5" customHeight="1">
      <x:c r="A34" s="184" t="str">
        <x:v>4</x:v>
      </x:c>
      <x:c r="B34" s="181" t="str">
        <x:v>Track permission, content, signup, and profile publication as separate milestones on Content &amp; Signup.</x:v>
      </x:c>
      <x:c r="C34" s="181" t="str"/>
      <x:c r="D34" s="181" t="str"/>
      <x:c r="E34" s="181" t="str"/>
      <x:c r="F34" s="181" t="str"/>
      <x:c r="G34" s="181" t="str"/>
      <x:c r="H34" s="181" t="str"/>
      <x:c r="I34" s="181" t="str"/>
      <x:c r="J34" s="181" t="str"/>
      <x:c r="K34" s="181" t="str"/>
      <x:c r="L34" s="181" t="str"/>
      <x:c r="M34" s="181" t="str"/>
      <x:c r="N34" s="181" t="str"/>
      <x:c r="O34" s="181" t="str"/>
      <x:c r="P34" s="181" t="str"/>
      <x:c r="Q34" s="181" t="str"/>
    </x:row>
  </x:sheetData>
  <x:mergeCells>
    <x:mergeCell ref="A1:Q1"/>
    <x:mergeCell ref="A2:Q2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M4:N4"/>
    <x:mergeCell ref="M5:N7"/>
    <x:mergeCell ref="O4:Q4"/>
    <x:mergeCell ref="O5:Q7"/>
    <x:mergeCell ref="A9:D9"/>
    <x:mergeCell ref="A10:D11"/>
    <x:mergeCell ref="E9:H9"/>
    <x:mergeCell ref="E10:H11"/>
    <x:mergeCell ref="I9:L9"/>
    <x:mergeCell ref="I10:L11"/>
    <x:mergeCell ref="M9:Q9"/>
    <x:mergeCell ref="M10:Q11"/>
    <x:mergeCell ref="A30:Q30"/>
    <x:mergeCell ref="B31:Q31"/>
    <x:mergeCell ref="B32:Q32"/>
    <x:mergeCell ref="B33:Q33"/>
    <x:mergeCell ref="B34:Q34"/>
  </x:mergeCells>
  <x:pageMargins left="0.7" right="0.7" top="0.75" bottom="0.75" header="0.3" footer="0.3"/>
  <x:drawing xmlns:r="http://schemas.openxmlformats.org/officeDocument/2006/relationships" r:id="R39576db083944d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21.110000610351562" hidden="0" customWidth="1"/>
    <x:col min="3" max="3" width="16.110000610351562" hidden="0" customWidth="1"/>
    <x:col min="4" max="4" width="16.670000076293945" hidden="0" customWidth="1"/>
    <x:col min="5" max="5" width="5.329999923706055" hidden="0" customWidth="1"/>
    <x:col min="6" max="6" width="15" hidden="0" customWidth="1"/>
    <x:col min="7" max="7" width="20.559999465942383" hidden="0" customWidth="1"/>
    <x:col min="8" max="8" width="6.110000133514404" hidden="0" customWidth="1"/>
    <x:col min="9" max="9" width="11.670000076293945" hidden="0" customWidth="1"/>
    <x:col min="10" max="10" width="10.890000343322754" hidden="0" customWidth="1"/>
    <x:col min="11" max="11" width="20.559999465942383" hidden="0" customWidth="1"/>
    <x:col min="12" max="12" width="13.329999923706055" hidden="0" customWidth="1"/>
    <x:col min="13" max="13" width="22.780000686645508" hidden="0" customWidth="1"/>
    <x:col min="14" max="14" width="21.670000076293945" hidden="0" customWidth="1"/>
    <x:col min="15" max="15" width="22.780000686645508" hidden="0" customWidth="1"/>
    <x:col min="16" max="16" width="22.780000686645508" hidden="0" customWidth="1"/>
    <x:col min="17" max="17" width="27.780000686645508" hidden="0" customWidth="1"/>
    <x:col min="18" max="18" width="15" hidden="0" customWidth="1"/>
    <x:col min="19" max="19" width="9.779999732971191" hidden="0" customWidth="1"/>
    <x:col min="20" max="20" width="9.779999732971191" hidden="0" customWidth="1"/>
    <x:col min="21" max="21" width="9.779999732971191" hidden="0" customWidth="1"/>
    <x:col min="22" max="22" width="10.220000267028809" hidden="0" customWidth="1"/>
    <x:col min="23" max="23" width="20.559999465942383" hidden="0" customWidth="1"/>
    <x:col min="24" max="24" width="10.5600004196167" hidden="0" customWidth="1"/>
    <x:col min="25" max="25" width="11.670000076293945" hidden="0" customWidth="1"/>
    <x:col min="26" max="26" width="9.779999732971191" hidden="0" customWidth="1"/>
    <x:col min="27" max="27" width="20" hidden="0" customWidth="1"/>
  </x:cols>
  <x:sheetData>
    <x:row r="1" ht="30" customHeight="1">
      <x:c r="A1" s="4" t="str">
        <x:v>Hire Line Dancers Instructor Outreach Pipeline</x:v>
      </x:c>
      <x:c r="B1" s="4" t="str">
        <x:v>Hire Line Dancers Instructor Outreach Pipeline</x:v>
      </x:c>
      <x:c r="C1" s="4" t="str">
        <x:v>Hire Line Dancers Instructor Outreach Pipeline</x:v>
      </x:c>
      <x:c r="D1" s="4" t="str">
        <x:v>Hire Line Dancers Instructor Outreach Pipeline</x:v>
      </x:c>
      <x:c r="E1" s="4" t="str">
        <x:v>Hire Line Dancers Instructor Outreach Pipeline</x:v>
      </x:c>
      <x:c r="F1" s="4" t="str">
        <x:v>Hire Line Dancers Instructor Outreach Pipeline</x:v>
      </x:c>
      <x:c r="G1" s="4" t="str">
        <x:v>Hire Line Dancers Instructor Outreach Pipeline</x:v>
      </x:c>
      <x:c r="H1" s="4" t="str">
        <x:v>Hire Line Dancers Instructor Outreach Pipeline</x:v>
      </x:c>
      <x:c r="I1" s="4" t="str">
        <x:v>Hire Line Dancers Instructor Outreach Pipeline</x:v>
      </x:c>
      <x:c r="J1" s="4" t="str">
        <x:v>Hire Line Dancers Instructor Outreach Pipeline</x:v>
      </x:c>
      <x:c r="K1" s="4" t="str">
        <x:v>Hire Line Dancers Instructor Outreach Pipeline</x:v>
      </x:c>
      <x:c r="L1" s="4" t="str">
        <x:v>Hire Line Dancers Instructor Outreach Pipeline</x:v>
      </x:c>
      <x:c r="M1" s="4" t="str">
        <x:v>Hire Line Dancers Instructor Outreach Pipeline</x:v>
      </x:c>
      <x:c r="N1" s="4" t="str">
        <x:v>Hire Line Dancers Instructor Outreach Pipeline</x:v>
      </x:c>
      <x:c r="O1" s="4" t="str">
        <x:v>Hire Line Dancers Instructor Outreach Pipeline</x:v>
      </x:c>
      <x:c r="P1" s="4" t="str">
        <x:v>Hire Line Dancers Instructor Outreach Pipeline</x:v>
      </x:c>
      <x:c r="Q1" s="4" t="str">
        <x:v>Hire Line Dancers Instructor Outreach Pipeline</x:v>
      </x:c>
      <x:c r="R1" s="4" t="str">
        <x:v>Hire Line Dancers Instructor Outreach Pipeline</x:v>
      </x:c>
      <x:c r="S1" s="4" t="str">
        <x:v>Hire Line Dancers Instructor Outreach Pipeline</x:v>
      </x:c>
      <x:c r="T1" s="4" t="str">
        <x:v>Hire Line Dancers Instructor Outreach Pipeline</x:v>
      </x:c>
      <x:c r="U1" s="4" t="str">
        <x:v>Hire Line Dancers Instructor Outreach Pipeline</x:v>
      </x:c>
      <x:c r="V1" s="4" t="str">
        <x:v>Hire Line Dancers Instructor Outreach Pipeline</x:v>
      </x:c>
      <x:c r="W1" s="4" t="str">
        <x:v>Hire Line Dancers Instructor Outreach Pipeline</x:v>
      </x:c>
      <x:c r="X1" s="4" t="str">
        <x:v>Hire Line Dancers Instructor Outreach Pipeline</x:v>
      </x:c>
      <x:c r="Y1" s="4" t="str">
        <x:v>Hire Line Dancers Instructor Outreach Pipeline</x:v>
      </x:c>
      <x:c r="Z1" s="4" t="str">
        <x:v>Hire Line Dancers Instructor Outreach Pipeline</x:v>
      </x:c>
      <x:c r="AA1" s="4" t="str">
        <x:v>Hire Line Dancers Instructor Outreach Pipeline</x:v>
      </x:c>
    </x:row>
    <x:row r="2" ht="22.5" customHeight="1">
      <x:c r="A2" s="8" t="str">
        <x:v>Ranked research priorities from public business sources as of 2026-08-05. Confirm current details before contact, personalize every message, and stop immediately on an opt-out.</x:v>
      </x:c>
      <x:c r="B2" s="8" t="str">
        <x:v>Ranked research priorities from public business sources as of 2026-08-05. Confirm current details before contact, personalize every message, and stop immediately on an opt-out.</x:v>
      </x:c>
      <x:c r="C2" s="8" t="str">
        <x:v>Ranked research priorities from public business sources as of 2026-08-05. Confirm current details before contact, personalize every message, and stop immediately on an opt-out.</x:v>
      </x:c>
      <x:c r="D2" s="8" t="str">
        <x:v>Ranked research priorities from public business sources as of 2026-08-05. Confirm current details before contact, personalize every message, and stop immediately on an opt-out.</x:v>
      </x:c>
      <x:c r="E2" s="8" t="str">
        <x:v>Ranked research priorities from public business sources as of 2026-08-05. Confirm current details before contact, personalize every message, and stop immediately on an opt-out.</x:v>
      </x:c>
      <x:c r="F2" s="8" t="str">
        <x:v>Ranked research priorities from public business sources as of 2026-08-05. Confirm current details before contact, personalize every message, and stop immediately on an opt-out.</x:v>
      </x:c>
      <x:c r="G2" s="8" t="str">
        <x:v>Ranked research priorities from public business sources as of 2026-08-05. Confirm current details before contact, personalize every message, and stop immediately on an opt-out.</x:v>
      </x:c>
      <x:c r="H2" s="8" t="str">
        <x:v>Ranked research priorities from public business sources as of 2026-08-05. Confirm current details before contact, personalize every message, and stop immediately on an opt-out.</x:v>
      </x:c>
      <x:c r="I2" s="8" t="str">
        <x:v>Ranked research priorities from public business sources as of 2026-08-05. Confirm current details before contact, personalize every message, and stop immediately on an opt-out.</x:v>
      </x:c>
      <x:c r="J2" s="8" t="str">
        <x:v>Ranked research priorities from public business sources as of 2026-08-05. Confirm current details before contact, personalize every message, and stop immediately on an opt-out.</x:v>
      </x:c>
      <x:c r="K2" s="8" t="str">
        <x:v>Ranked research priorities from public business sources as of 2026-08-05. Confirm current details before contact, personalize every message, and stop immediately on an opt-out.</x:v>
      </x:c>
      <x:c r="L2" s="8" t="str">
        <x:v>Ranked research priorities from public business sources as of 2026-08-05. Confirm current details before contact, personalize every message, and stop immediately on an opt-out.</x:v>
      </x:c>
      <x:c r="M2" s="8" t="str">
        <x:v>Ranked research priorities from public business sources as of 2026-08-05. Confirm current details before contact, personalize every message, and stop immediately on an opt-out.</x:v>
      </x:c>
      <x:c r="N2" s="8" t="str">
        <x:v>Ranked research priorities from public business sources as of 2026-08-05. Confirm current details before contact, personalize every message, and stop immediately on an opt-out.</x:v>
      </x:c>
      <x:c r="O2" s="8" t="str">
        <x:v>Ranked research priorities from public business sources as of 2026-08-05. Confirm current details before contact, personalize every message, and stop immediately on an opt-out.</x:v>
      </x:c>
      <x:c r="P2" s="8" t="str">
        <x:v>Ranked research priorities from public business sources as of 2026-08-05. Confirm current details before contact, personalize every message, and stop immediately on an opt-out.</x:v>
      </x:c>
      <x:c r="Q2" s="8" t="str">
        <x:v>Ranked research priorities from public business sources as of 2026-08-05. Confirm current details before contact, personalize every message, and stop immediately on an opt-out.</x:v>
      </x:c>
      <x:c r="R2" s="8" t="str">
        <x:v>Ranked research priorities from public business sources as of 2026-08-05. Confirm current details before contact, personalize every message, and stop immediately on an opt-out.</x:v>
      </x:c>
      <x:c r="S2" s="8" t="str">
        <x:v>Ranked research priorities from public business sources as of 2026-08-05. Confirm current details before contact, personalize every message, and stop immediately on an opt-out.</x:v>
      </x:c>
      <x:c r="T2" s="8" t="str">
        <x:v>Ranked research priorities from public business sources as of 2026-08-05. Confirm current details before contact, personalize every message, and stop immediately on an opt-out.</x:v>
      </x:c>
      <x:c r="U2" s="8" t="str">
        <x:v>Ranked research priorities from public business sources as of 2026-08-05. Confirm current details before contact, personalize every message, and stop immediately on an opt-out.</x:v>
      </x:c>
      <x:c r="V2" s="8" t="str">
        <x:v>Ranked research priorities from public business sources as of 2026-08-05. Confirm current details before contact, personalize every message, and stop immediately on an opt-out.</x:v>
      </x:c>
      <x:c r="W2" s="8" t="str">
        <x:v>Ranked research priorities from public business sources as of 2026-08-05. Confirm current details before contact, personalize every message, and stop immediately on an opt-out.</x:v>
      </x:c>
      <x:c r="X2" s="8" t="str">
        <x:v>Ranked research priorities from public business sources as of 2026-08-05. Confirm current details before contact, personalize every message, and stop immediately on an opt-out.</x:v>
      </x:c>
      <x:c r="Y2" s="8" t="str">
        <x:v>Ranked research priorities from public business sources as of 2026-08-05. Confirm current details before contact, personalize every message, and stop immediately on an opt-out.</x:v>
      </x:c>
      <x:c r="Z2" s="8" t="str">
        <x:v>Ranked research priorities from public business sources as of 2026-08-05. Confirm current details before contact, personalize every message, and stop immediately on an opt-out.</x:v>
      </x:c>
      <x:c r="AA2" s="8" t="str">
        <x:v>Ranked research priorities from public business sources as of 2026-08-05. Confirm current details before contact, personalize every message, and stop immediately on an opt-out.</x:v>
      </x:c>
    </x:row>
    <x:row r="3" ht="22.5" customHeight="1">
      <x:c r="A3" s="12" t="str">
        <x:v>Start here: filter Priority = P1, review Why fit, choose the preferred public channel, then enter First touch and Next action dates after each manual interaction.</x:v>
      </x:c>
      <x:c r="B3" s="12" t="str">
        <x:v>Start here: filter Priority = P1, review Why fit, choose the preferred public channel, then enter First touch and Next action dates after each manual interaction.</x:v>
      </x:c>
      <x:c r="C3" s="12" t="str">
        <x:v>Start here: filter Priority = P1, review Why fit, choose the preferred public channel, then enter First touch and Next action dates after each manual interaction.</x:v>
      </x:c>
      <x:c r="D3" s="12" t="str">
        <x:v>Start here: filter Priority = P1, review Why fit, choose the preferred public channel, then enter First touch and Next action dates after each manual interaction.</x:v>
      </x:c>
      <x:c r="E3" s="12" t="str">
        <x:v>Start here: filter Priority = P1, review Why fit, choose the preferred public channel, then enter First touch and Next action dates after each manual interaction.</x:v>
      </x:c>
      <x:c r="F3" s="12" t="str">
        <x:v>Start here: filter Priority = P1, review Why fit, choose the preferred public channel, then enter First touch and Next action dates after each manual interaction.</x:v>
      </x:c>
      <x:c r="G3" s="12" t="str">
        <x:v>Start here: filter Priority = P1, review Why fit, choose the preferred public channel, then enter First touch and Next action dates after each manual interaction.</x:v>
      </x:c>
      <x:c r="H3" s="12" t="str">
        <x:v>Start here: filter Priority = P1, review Why fit, choose the preferred public channel, then enter First touch and Next action dates after each manual interaction.</x:v>
      </x:c>
      <x:c r="I3" s="12" t="str">
        <x:v>Start here: filter Priority = P1, review Why fit, choose the preferred public channel, then enter First touch and Next action dates after each manual interaction.</x:v>
      </x:c>
      <x:c r="J3" s="12" t="str">
        <x:v>Start here: filter Priority = P1, review Why fit, choose the preferred public channel, then enter First touch and Next action dates after each manual interaction.</x:v>
      </x:c>
      <x:c r="K3" s="12" t="str">
        <x:v>Start here: filter Priority = P1, review Why fit, choose the preferred public channel, then enter First touch and Next action dates after each manual interaction.</x:v>
      </x:c>
      <x:c r="L3" s="12" t="str">
        <x:v>Start here: filter Priority = P1, review Why fit, choose the preferred public channel, then enter First touch and Next action dates after each manual interaction.</x:v>
      </x:c>
      <x:c r="M3" s="12" t="str">
        <x:v>Start here: filter Priority = P1, review Why fit, choose the preferred public channel, then enter First touch and Next action dates after each manual interaction.</x:v>
      </x:c>
      <x:c r="N3" s="12" t="str">
        <x:v>Start here: filter Priority = P1, review Why fit, choose the preferred public channel, then enter First touch and Next action dates after each manual interaction.</x:v>
      </x:c>
      <x:c r="O3" s="12" t="str">
        <x:v>Start here: filter Priority = P1, review Why fit, choose the preferred public channel, then enter First touch and Next action dates after each manual interaction.</x:v>
      </x:c>
      <x:c r="P3" s="12" t="str">
        <x:v>Start here: filter Priority = P1, review Why fit, choose the preferred public channel, then enter First touch and Next action dates after each manual interaction.</x:v>
      </x:c>
      <x:c r="Q3" s="12" t="str">
        <x:v>Start here: filter Priority = P1, review Why fit, choose the preferred public channel, then enter First touch and Next action dates after each manual interaction.</x:v>
      </x:c>
      <x:c r="R3" s="12" t="str">
        <x:v>Start here: filter Priority = P1, review Why fit, choose the preferred public channel, then enter First touch and Next action dates after each manual interaction.</x:v>
      </x:c>
      <x:c r="S3" s="12" t="str">
        <x:v>Start here: filter Priority = P1, review Why fit, choose the preferred public channel, then enter First touch and Next action dates after each manual interaction.</x:v>
      </x:c>
      <x:c r="T3" s="12" t="str">
        <x:v>Start here: filter Priority = P1, review Why fit, choose the preferred public channel, then enter First touch and Next action dates after each manual interaction.</x:v>
      </x:c>
      <x:c r="U3" s="12" t="str">
        <x:v>Start here: filter Priority = P1, review Why fit, choose the preferred public channel, then enter First touch and Next action dates after each manual interaction.</x:v>
      </x:c>
      <x:c r="V3" s="12" t="str">
        <x:v>Start here: filter Priority = P1, review Why fit, choose the preferred public channel, then enter First touch and Next action dates after each manual interaction.</x:v>
      </x:c>
      <x:c r="W3" s="12" t="str">
        <x:v>Start here: filter Priority = P1, review Why fit, choose the preferred public channel, then enter First touch and Next action dates after each manual interaction.</x:v>
      </x:c>
      <x:c r="X3" s="12" t="str">
        <x:v>Start here: filter Priority = P1, review Why fit, choose the preferred public channel, then enter First touch and Next action dates after each manual interaction.</x:v>
      </x:c>
      <x:c r="Y3" s="12" t="str">
        <x:v>Start here: filter Priority = P1, review Why fit, choose the preferred public channel, then enter First touch and Next action dates after each manual interaction.</x:v>
      </x:c>
      <x:c r="Z3" s="12" t="str">
        <x:v>Start here: filter Priority = P1, review Why fit, choose the preferred public channel, then enter First touch and Next action dates after each manual interaction.</x:v>
      </x:c>
      <x:c r="AA3" s="12" t="str">
        <x:v>Start here: filter Priority = P1, review Why fit, choose the preferred public channel, then enter First touch and Next action dates after each manual interaction.</x:v>
      </x:c>
    </x:row>
    <x:row r="5" ht="25.5" customHeight="1">
      <x:c r="A5" s="18" t="str">
        <x:v>Prospect ID</x:v>
      </x:c>
      <x:c r="B5" s="18" t="str">
        <x:v>Instructor / Business</x:v>
      </x:c>
      <x:c r="C5" s="18" t="str">
        <x:v>Contact name</x:v>
      </x:c>
      <x:c r="D5" s="18" t="str">
        <x:v>Region</x:v>
      </x:c>
      <x:c r="E5" s="18" t="str">
        <x:v>State</x:v>
      </x:c>
      <x:c r="F5" s="18" t="str">
        <x:v>Record type</x:v>
      </x:c>
      <x:c r="G5" s="18" t="str">
        <x:v>Style / offering</x:v>
      </x:c>
      <x:c r="H5" s="18" t="str">
        <x:v>Priority</x:v>
      </x:c>
      <x:c r="I5" s="18" t="str">
        <x:v>Pipeline stage</x:v>
      </x:c>
      <x:c r="J5" s="18" t="str">
        <x:v>Preferred channel</x:v>
      </x:c>
      <x:c r="K5" s="18" t="str">
        <x:v>Email</x:v>
      </x:c>
      <x:c r="L5" s="18" t="str">
        <x:v>Email status</x:v>
      </x:c>
      <x:c r="M5" s="18" t="str">
        <x:v>Instagram</x:v>
      </x:c>
      <x:c r="N5" s="18" t="str">
        <x:v>TikTok</x:v>
      </x:c>
      <x:c r="O5" s="18" t="str">
        <x:v>Website</x:v>
      </x:c>
      <x:c r="P5" s="18" t="str">
        <x:v>Source URL</x:v>
      </x:c>
      <x:c r="Q5" s="18" t="str">
        <x:v>Why fit / personalization</x:v>
      </x:c>
      <x:c r="R5" s="18" t="str">
        <x:v>Research confidence</x:v>
      </x:c>
      <x:c r="S5" s="18" t="str">
        <x:v>Research date</x:v>
      </x:c>
      <x:c r="T5" s="18" t="str">
        <x:v>First touch date</x:v>
      </x:c>
      <x:c r="U5" s="18" t="str">
        <x:v>Last touch date</x:v>
      </x:c>
      <x:c r="V5" s="18" t="str">
        <x:v>Next action date</x:v>
      </x:c>
      <x:c r="W5" s="18" t="str">
        <x:v>Next action</x:v>
      </x:c>
      <x:c r="X5" s="18" t="str">
        <x:v>Reply outcome</x:v>
      </x:c>
      <x:c r="Y5" s="18" t="str">
        <x:v>Participation decision</x:v>
      </x:c>
      <x:c r="Z5" s="18" t="str">
        <x:v>Do not contact</x:v>
      </x:c>
      <x:c r="AA5" s="18" t="str">
        <x:v>Notes</x:v>
      </x:c>
    </x:row>
    <x:row r="6" ht="40.5" customHeight="1">
      <x:c r="A6" s="23" t="str">
        <x:v>NAS-01</x:v>
      </x:c>
      <x:c r="B6" s="23" t="str">
        <x:v>Urban Cowboy Line Dancing</x:v>
      </x:c>
      <x:c r="C6" s="23" t="str">
        <x:v>Kyle Erickson (Cowboy Kyle)</x:v>
      </x:c>
      <x:c r="D6" s="23" t="str">
        <x:v>Nashville</x:v>
      </x:c>
      <x:c r="E6" s="23" t="str">
        <x:v>TN</x:v>
      </x:c>
      <x:c r="F6" s="23" t="str">
        <x:v>Independent instructor</x:v>
      </x:c>
      <x:c r="G6" s="23" t="str">
        <x:v>Private events, weddings, corporate events</x:v>
      </x:c>
      <x:c r="H6" s="23" t="str">
        <x:v>P1</x:v>
      </x:c>
      <x:c r="I6" s="23" t="str">
        <x:v>Researched</x:v>
      </x:c>
      <x:c r="J6" s="23" t="str">
        <x:v>Email</x:v>
      </x:c>
      <x:c r="K6" s="23" t="str">
        <x:v>urbancowboylinedancing@gmail.com</x:v>
      </x:c>
      <x:c r="L6" s="23" t="str">
        <x:v>Public business email</x:v>
      </x:c>
      <x:c r="M6" s="25" t="str">
        <x:v>https://www.instagram.com/urbancowboylinedancing/</x:v>
      </x:c>
      <x:c r="N6" s="25" t="str">
        <x:v>https://www.tiktok.com/@urbancowboylinedancing</x:v>
      </x:c>
      <x:c r="O6" s="25" t="str">
        <x:v>https://www.urbancowboynashville.com/</x:v>
      </x:c>
      <x:c r="P6" s="25" t="str">
        <x:v>https://www.urbancowboynashville.com/</x:v>
      </x:c>
      <x:c r="Q6" s="23" t="str">
        <x:v>High-visibility Nashville creator and event instructor. Public follower directories report more than 500,000 followers.</x:v>
      </x:c>
      <x:c r="R6" s="23" t="str">
        <x:v>Verified official site</x:v>
      </x:c>
      <x:c r="S6" s="24" t="n">
        <x:v>46239.666666666664</x:v>
      </x:c>
      <x:c r="T6" s="24"/>
      <x:c r="U6" s="24"/>
      <x:c r="V6" s="24"/>
      <x:c r="W6" s="23" t="str">
        <x:v>Personalize first outreach</x:v>
      </x:c>
      <x:c r="X6" s="23" t="str"/>
      <x:c r="Y6" s="23" t="str">
        <x:v>Unknown</x:v>
      </x:c>
      <x:c r="Z6" s="23" t="str">
        <x:v>No</x:v>
      </x:c>
      <x:c r="AA6" s="23" t="str">
        <x:v>City research rank 1.</x:v>
      </x:c>
    </x:row>
    <x:row r="7" ht="40.5" customHeight="1">
      <x:c r="A7" s="23" t="str">
        <x:v>NAS-02</x:v>
      </x:c>
      <x:c r="B7" s="23" t="str">
        <x:v>Nashville Balance Line Dance Team</x:v>
      </x:c>
      <x:c r="C7" s="23" t="str">
        <x:v>Tabbi (@tiktok.tabbii)</x:v>
      </x:c>
      <x:c r="D7" s="23" t="str">
        <x:v>Nashville</x:v>
      </x:c>
      <x:c r="E7" s="23" t="str">
        <x:v>TN</x:v>
      </x:c>
      <x:c r="F7" s="23" t="str">
        <x:v>Independent instructor</x:v>
      </x:c>
      <x:c r="G7" s="23" t="str">
        <x:v>Line dance instruction, creator content, events</x:v>
      </x:c>
      <x:c r="H7" s="23" t="str">
        <x:v>P1</x:v>
      </x:c>
      <x:c r="I7" s="23" t="str">
        <x:v>Researched</x:v>
      </x:c>
      <x:c r="J7" s="23" t="str">
        <x:v>Email</x:v>
      </x:c>
      <x:c r="K7" s="23" t="str">
        <x:v>Biz.tttabbi@yahoo.com</x:v>
      </x:c>
      <x:c r="L7" s="23" t="str">
        <x:v>Public business email</x:v>
      </x:c>
      <x:c r="M7" s="25" t="str"/>
      <x:c r="N7" s="25" t="str">
        <x:v>https://www.tiktok.com/@tiktok.tabbii</x:v>
      </x:c>
      <x:c r="O7" s="25" t="str">
        <x:v>https://www.tiktok.com/@tiktok.tabbii</x:v>
      </x:c>
      <x:c r="P7" s="25" t="str">
        <x:v>https://influencers.club/top-influencers/line-dances/</x:v>
      </x:c>
      <x:c r="Q7" s="23" t="str">
        <x:v>Nashville line dance creator with a large public TikTok audience, listed at roughly 800,000 followers by a public directory.</x:v>
      </x:c>
      <x:c r="R7" s="23" t="str">
        <x:v>Verified public social</x:v>
      </x:c>
      <x:c r="S7" s="24" t="n">
        <x:v>46239.666666666664</x:v>
      </x:c>
      <x:c r="T7" s="24"/>
      <x:c r="U7" s="24"/>
      <x:c r="V7" s="24"/>
      <x:c r="W7" s="23" t="str">
        <x:v>Personalize first outreach</x:v>
      </x:c>
      <x:c r="X7" s="23" t="str"/>
      <x:c r="Y7" s="23" t="str">
        <x:v>Unknown</x:v>
      </x:c>
      <x:c r="Z7" s="23" t="str">
        <x:v>No</x:v>
      </x:c>
      <x:c r="AA7" s="23" t="str">
        <x:v>City research rank 2.</x:v>
      </x:c>
    </x:row>
    <x:row r="8" ht="40.5" customHeight="1">
      <x:c r="A8" s="23" t="str">
        <x:v>NAS-03</x:v>
      </x:c>
      <x:c r="B8" s="23" t="str">
        <x:v>Em Downs Line Dancing</x:v>
      </x:c>
      <x:c r="C8" s="23" t="str">
        <x:v>Em Downs</x:v>
      </x:c>
      <x:c r="D8" s="23" t="str">
        <x:v>Nashville</x:v>
      </x:c>
      <x:c r="E8" s="23" t="str">
        <x:v>TN</x:v>
      </x:c>
      <x:c r="F8" s="23" t="str">
        <x:v>Independent instructor</x:v>
      </x:c>
      <x:c r="G8" s="23" t="str">
        <x:v>Line dance instruction, creator content, music events</x:v>
      </x:c>
      <x:c r="H8" s="23" t="str">
        <x:v>P1</x:v>
      </x:c>
      <x:c r="I8" s="23" t="str">
        <x:v>Researched</x:v>
      </x:c>
      <x:c r="J8" s="23" t="str">
        <x:v>Email</x:v>
      </x:c>
      <x:c r="K8" s="23" t="str">
        <x:v>Emdownsmusic@gmail.com</x:v>
      </x:c>
      <x:c r="L8" s="23" t="str">
        <x:v>Public business email</x:v>
      </x:c>
      <x:c r="M8" s="25" t="str">
        <x:v>https://www.instagram.com/emmdowns/</x:v>
      </x:c>
      <x:c r="N8" s="25" t="str">
        <x:v>https://www.tiktok.com/@emdowns</x:v>
      </x:c>
      <x:c r="O8" s="25" t="str">
        <x:v>https://www.emdowns.com/</x:v>
      </x:c>
      <x:c r="P8" s="25" t="str">
        <x:v>https://influencers.club/top-influencers/line-dances/</x:v>
      </x:c>
      <x:c r="Q8" s="23" t="str">
        <x:v>Nashville creator and instructor with a sizable multi-platform audience and strong music-market fit.</x:v>
      </x:c>
      <x:c r="R8" s="23" t="str">
        <x:v>Verified public social</x:v>
      </x:c>
      <x:c r="S8" s="24" t="n">
        <x:v>46239.666666666664</x:v>
      </x:c>
      <x:c r="T8" s="24"/>
      <x:c r="U8" s="24"/>
      <x:c r="V8" s="24"/>
      <x:c r="W8" s="23" t="str">
        <x:v>Personalize first outreach</x:v>
      </x:c>
      <x:c r="X8" s="23" t="str"/>
      <x:c r="Y8" s="23" t="str">
        <x:v>Unknown</x:v>
      </x:c>
      <x:c r="Z8" s="23" t="str">
        <x:v>No</x:v>
      </x:c>
      <x:c r="AA8" s="23" t="str">
        <x:v>City research rank 3.</x:v>
      </x:c>
    </x:row>
    <x:row r="9" ht="40.5" customHeight="1">
      <x:c r="A9" s="23" t="str">
        <x:v>NAS-04</x:v>
      </x:c>
      <x:c r="B9" s="23" t="str">
        <x:v>Line Dance Chance</x:v>
      </x:c>
      <x:c r="C9" s="23" t="str">
        <x:v>Chance Make 'Em Dance</x:v>
      </x:c>
      <x:c r="D9" s="23" t="str">
        <x:v>Nashville</x:v>
      </x:c>
      <x:c r="E9" s="23" t="str">
        <x:v>TN</x:v>
      </x:c>
      <x:c r="F9" s="23" t="str">
        <x:v>Independent instructor</x:v>
      </x:c>
      <x:c r="G9" s="23" t="str">
        <x:v>Festival workshops, private events, line dance instruction</x:v>
      </x:c>
      <x:c r="H9" s="23" t="str">
        <x:v>P2</x:v>
      </x:c>
      <x:c r="I9" s="23" t="str">
        <x:v>Researched</x:v>
      </x:c>
      <x:c r="J9" s="23" t="str">
        <x:v>Contact form</x:v>
      </x:c>
      <x:c r="K9" s="23" t="str"/>
      <x:c r="L9" s="23" t="str">
        <x:v>Not found</x:v>
      </x:c>
      <x:c r="M9" s="25" t="str"/>
      <x:c r="N9" s="25" t="str"/>
      <x:c r="O9" s="25" t="str">
        <x:v>https://www.linedancechance.com/</x:v>
      </x:c>
      <x:c r="P9" s="25" t="str">
        <x:v>https://www.linedancechance.com/</x:v>
      </x:c>
      <x:c r="Q9" s="23" t="str">
        <x:v>Recognized Nashville instructor with festival and event teaching visibility.</x:v>
      </x:c>
      <x:c r="R9" s="23" t="str">
        <x:v>Verified official site</x:v>
      </x:c>
      <x:c r="S9" s="24" t="n">
        <x:v>46239.666666666664</x:v>
      </x:c>
      <x:c r="T9" s="24"/>
      <x:c r="U9" s="24"/>
      <x:c r="V9" s="24"/>
      <x:c r="W9" s="23" t="str">
        <x:v>Personalize first outreach</x:v>
      </x:c>
      <x:c r="X9" s="23" t="str"/>
      <x:c r="Y9" s="23" t="str">
        <x:v>Unknown</x:v>
      </x:c>
      <x:c r="Z9" s="23" t="str">
        <x:v>No</x:v>
      </x:c>
      <x:c r="AA9" s="23" t="str">
        <x:v>City research rank 4.</x:v>
      </x:c>
    </x:row>
    <x:row r="10" ht="40.5" customHeight="1">
      <x:c r="A10" s="23" t="str">
        <x:v>NAS-05</x:v>
      </x:c>
      <x:c r="B10" s="23" t="str">
        <x:v>Tennessee Backroad Line Dancing</x:v>
      </x:c>
      <x:c r="C10" s="23" t="str">
        <x:v>Justin Lee</x:v>
      </x:c>
      <x:c r="D10" s="23" t="str">
        <x:v>Nashville</x:v>
      </x:c>
      <x:c r="E10" s="23" t="str">
        <x:v>TN</x:v>
      </x:c>
      <x:c r="F10" s="23" t="str">
        <x:v>Instructor team</x:v>
      </x:c>
      <x:c r="G10" s="23" t="str">
        <x:v>Private events, weddings, corporate events</x:v>
      </x:c>
      <x:c r="H10" s="23" t="str">
        <x:v>P2</x:v>
      </x:c>
      <x:c r="I10" s="23" t="str">
        <x:v>Researched</x:v>
      </x:c>
      <x:c r="J10" s="23" t="str">
        <x:v>Email</x:v>
      </x:c>
      <x:c r="K10" s="23" t="str">
        <x:v>tbrlinedancing@gmail.com</x:v>
      </x:c>
      <x:c r="L10" s="23" t="str">
        <x:v>Shared business email</x:v>
      </x:c>
      <x:c r="M10" s="25" t="str"/>
      <x:c r="N10" s="25" t="str"/>
      <x:c r="O10" s="25" t="str">
        <x:v>https://www.tennesseebackroad.com/</x:v>
      </x:c>
      <x:c r="P10" s="25" t="str">
        <x:v>https://www.tennesseebackroad.com/</x:v>
      </x:c>
      <x:c r="Q10" s="23" t="str">
        <x:v>Lead instructor at a visible Nashville event-focused line dance business.</x:v>
      </x:c>
      <x:c r="R10" s="23" t="str">
        <x:v>Verified official site</x:v>
      </x:c>
      <x:c r="S10" s="24" t="n">
        <x:v>46239.666666666664</x:v>
      </x:c>
      <x:c r="T10" s="24"/>
      <x:c r="U10" s="24"/>
      <x:c r="V10" s="24"/>
      <x:c r="W10" s="23" t="str">
        <x:v>Personalize first outreach</x:v>
      </x:c>
      <x:c r="X10" s="23" t="str"/>
      <x:c r="Y10" s="23" t="str">
        <x:v>Unknown</x:v>
      </x:c>
      <x:c r="Z10" s="23" t="str">
        <x:v>No</x:v>
      </x:c>
      <x:c r="AA10" s="23" t="str">
        <x:v>City research rank 5.</x:v>
      </x:c>
    </x:row>
    <x:row r="11" ht="40.5" customHeight="1">
      <x:c r="A11" s="23" t="str">
        <x:v>NAS-06</x:v>
      </x:c>
      <x:c r="B11" s="23" t="str">
        <x:v>Tennessee Backroad Line Dancing</x:v>
      </x:c>
      <x:c r="C11" s="23" t="str">
        <x:v>Cowboy Jaylee</x:v>
      </x:c>
      <x:c r="D11" s="23" t="str">
        <x:v>Nashville</x:v>
      </x:c>
      <x:c r="E11" s="23" t="str">
        <x:v>TN</x:v>
      </x:c>
      <x:c r="F11" s="23" t="str">
        <x:v>Instructor team</x:v>
      </x:c>
      <x:c r="G11" s="23" t="str">
        <x:v>Private events, weddings, corporate events</x:v>
      </x:c>
      <x:c r="H11" s="23" t="str">
        <x:v>P2</x:v>
      </x:c>
      <x:c r="I11" s="23" t="str">
        <x:v>Researched</x:v>
      </x:c>
      <x:c r="J11" s="23" t="str">
        <x:v>Email</x:v>
      </x:c>
      <x:c r="K11" s="23" t="str">
        <x:v>tbrlinedancing@gmail.com</x:v>
      </x:c>
      <x:c r="L11" s="23" t="str">
        <x:v>Shared business email</x:v>
      </x:c>
      <x:c r="M11" s="25" t="str"/>
      <x:c r="N11" s="25" t="str"/>
      <x:c r="O11" s="25" t="str">
        <x:v>https://www.tennesseebackroad.com/</x:v>
      </x:c>
      <x:c r="P11" s="25" t="str">
        <x:v>https://www.tennesseebackroad.com/</x:v>
      </x:c>
      <x:c r="Q11" s="23" t="str">
        <x:v>Publicly featured instructor on a Nashville event-focused teaching team.</x:v>
      </x:c>
      <x:c r="R11" s="23" t="str">
        <x:v>Verified official site</x:v>
      </x:c>
      <x:c r="S11" s="24" t="n">
        <x:v>46239.666666666664</x:v>
      </x:c>
      <x:c r="T11" s="24"/>
      <x:c r="U11" s="24"/>
      <x:c r="V11" s="24"/>
      <x:c r="W11" s="23" t="str">
        <x:v>Personalize first outreach</x:v>
      </x:c>
      <x:c r="X11" s="23" t="str"/>
      <x:c r="Y11" s="23" t="str">
        <x:v>Unknown</x:v>
      </x:c>
      <x:c r="Z11" s="23" t="str">
        <x:v>No</x:v>
      </x:c>
      <x:c r="AA11" s="23" t="str">
        <x:v>City research rank 6.</x:v>
      </x:c>
    </x:row>
    <x:row r="12" ht="40.5" customHeight="1">
      <x:c r="A12" s="23" t="str">
        <x:v>NAS-07</x:v>
      </x:c>
      <x:c r="B12" s="23" t="str">
        <x:v>New Boots Line Dancing</x:v>
      </x:c>
      <x:c r="C12" s="23" t="str">
        <x:v>Andréa</x:v>
      </x:c>
      <x:c r="D12" s="23" t="str">
        <x:v>Nashville</x:v>
      </x:c>
      <x:c r="E12" s="23" t="str">
        <x:v>TN</x:v>
      </x:c>
      <x:c r="F12" s="23" t="str">
        <x:v>Instructor team</x:v>
      </x:c>
      <x:c r="G12" s="23" t="str">
        <x:v>Private events, groups, classes</x:v>
      </x:c>
      <x:c r="H12" s="23" t="str">
        <x:v>P2</x:v>
      </x:c>
      <x:c r="I12" s="23" t="str">
        <x:v>Researched</x:v>
      </x:c>
      <x:c r="J12" s="23" t="str">
        <x:v>Email</x:v>
      </x:c>
      <x:c r="K12" s="23" t="str">
        <x:v>hello@newbootslinedancing.com</x:v>
      </x:c>
      <x:c r="L12" s="23" t="str">
        <x:v>Shared business email</x:v>
      </x:c>
      <x:c r="M12" s="25" t="str">
        <x:v>https://www.instagram.com/newbootslinedancing/</x:v>
      </x:c>
      <x:c r="N12" s="25" t="str">
        <x:v>https://www.tiktok.com/@newbootslinedancing</x:v>
      </x:c>
      <x:c r="O12" s="25" t="str">
        <x:v>https://www.newbootslinedancing.com/</x:v>
      </x:c>
      <x:c r="P12" s="25" t="str">
        <x:v>https://www.newbootslinedancing.com/about-us</x:v>
      </x:c>
      <x:c r="Q12" s="23" t="str">
        <x:v>Owner and lead instructor of a multi-market line dance business with Nashville operations.</x:v>
      </x:c>
      <x:c r="R12" s="23" t="str">
        <x:v>Verified official site</x:v>
      </x:c>
      <x:c r="S12" s="24" t="n">
        <x:v>46239.666666666664</x:v>
      </x:c>
      <x:c r="T12" s="24"/>
      <x:c r="U12" s="24"/>
      <x:c r="V12" s="24"/>
      <x:c r="W12" s="23" t="str">
        <x:v>Personalize first outreach</x:v>
      </x:c>
      <x:c r="X12" s="23" t="str"/>
      <x:c r="Y12" s="23" t="str">
        <x:v>Unknown</x:v>
      </x:c>
      <x:c r="Z12" s="23" t="str">
        <x:v>No</x:v>
      </x:c>
      <x:c r="AA12" s="23" t="str">
        <x:v>City research rank 7. Public professional first name used on the official site.</x:v>
      </x:c>
    </x:row>
    <x:row r="13" ht="40.5" customHeight="1">
      <x:c r="A13" s="23" t="str">
        <x:v>NAS-08</x:v>
      </x:c>
      <x:c r="B13" s="23" t="str">
        <x:v>New Boots Line Dancing</x:v>
      </x:c>
      <x:c r="C13" s="23" t="str">
        <x:v>Jess</x:v>
      </x:c>
      <x:c r="D13" s="23" t="str">
        <x:v>Nashville</x:v>
      </x:c>
      <x:c r="E13" s="23" t="str">
        <x:v>TN</x:v>
      </x:c>
      <x:c r="F13" s="23" t="str">
        <x:v>Instructor team</x:v>
      </x:c>
      <x:c r="G13" s="23" t="str">
        <x:v>Private events, groups, classes</x:v>
      </x:c>
      <x:c r="H13" s="23" t="str">
        <x:v>P3</x:v>
      </x:c>
      <x:c r="I13" s="23" t="str">
        <x:v>Researched</x:v>
      </x:c>
      <x:c r="J13" s="23" t="str">
        <x:v>Email</x:v>
      </x:c>
      <x:c r="K13" s="23" t="str">
        <x:v>hello@newbootslinedancing.com</x:v>
      </x:c>
      <x:c r="L13" s="23" t="str">
        <x:v>Shared business email</x:v>
      </x:c>
      <x:c r="M13" s="25" t="str">
        <x:v>https://www.instagram.com/newbootslinedancing/</x:v>
      </x:c>
      <x:c r="N13" s="25" t="str">
        <x:v>https://www.tiktok.com/@newbootslinedancing</x:v>
      </x:c>
      <x:c r="O13" s="25" t="str">
        <x:v>https://www.newbootslinedancing.com/</x:v>
      </x:c>
      <x:c r="P13" s="25" t="str">
        <x:v>https://www.newbootslinedancing.com/blog/meet-jess-nbld-cofounder</x:v>
      </x:c>
      <x:c r="Q13" s="23" t="str">
        <x:v>Co-founder and lead instructor of a visible Nashville and New York teaching brand.</x:v>
      </x:c>
      <x:c r="R13" s="23" t="str">
        <x:v>Verified official site</x:v>
      </x:c>
      <x:c r="S13" s="24" t="n">
        <x:v>46239.666666666664</x:v>
      </x:c>
      <x:c r="T13" s="24"/>
      <x:c r="U13" s="24"/>
      <x:c r="V13" s="24"/>
      <x:c r="W13" s="23" t="str">
        <x:v>Personalize first outreach</x:v>
      </x:c>
      <x:c r="X13" s="23" t="str"/>
      <x:c r="Y13" s="23" t="str">
        <x:v>Unknown</x:v>
      </x:c>
      <x:c r="Z13" s="23" t="str">
        <x:v>No</x:v>
      </x:c>
      <x:c r="AA13" s="23" t="str">
        <x:v>City research rank 8. Public professional first name used on the official site.</x:v>
      </x:c>
    </x:row>
    <x:row r="14" ht="40.5" customHeight="1">
      <x:c r="A14" s="23" t="str">
        <x:v>NAS-09</x:v>
      </x:c>
      <x:c r="B14" s="23" t="str">
        <x:v>STEP Country Swing &amp; Dance</x:v>
      </x:c>
      <x:c r="C14" s="23" t="str">
        <x:v>Mike Lavigna</x:v>
      </x:c>
      <x:c r="D14" s="23" t="str">
        <x:v>Nashville</x:v>
      </x:c>
      <x:c r="E14" s="23" t="str">
        <x:v>TN</x:v>
      </x:c>
      <x:c r="F14" s="23" t="str">
        <x:v>Independent instructor</x:v>
      </x:c>
      <x:c r="G14" s="23" t="str">
        <x:v>Country line dance, swing, private and group events</x:v>
      </x:c>
      <x:c r="H14" s="23" t="str">
        <x:v>P3</x:v>
      </x:c>
      <x:c r="I14" s="23" t="str">
        <x:v>Researched</x:v>
      </x:c>
      <x:c r="J14" s="23" t="str">
        <x:v>Email</x:v>
      </x:c>
      <x:c r="K14" s="23" t="str">
        <x:v>mikelavignadance@gmail.com</x:v>
      </x:c>
      <x:c r="L14" s="23" t="str">
        <x:v>Public business email</x:v>
      </x:c>
      <x:c r="M14" s="25" t="str">
        <x:v>https://www.instagram.com/stepcountrydance/</x:v>
      </x:c>
      <x:c r="N14" s="25" t="str"/>
      <x:c r="O14" s="25" t="str">
        <x:v>https://www.stepcountrydance.com/</x:v>
      </x:c>
      <x:c r="P14" s="25" t="str">
        <x:v>https://nashvillevoyager.com/interview/community-highlights-meet-michael-lavigna-of-step-country-swing-dance/</x:v>
      </x:c>
      <x:c r="Q14" s="23" t="str">
        <x:v>Founder-led Nashville country dance business with community media visibility.</x:v>
      </x:c>
      <x:c r="R14" s="23" t="str">
        <x:v>Verified official site</x:v>
      </x:c>
      <x:c r="S14" s="24" t="n">
        <x:v>46239.666666666664</x:v>
      </x:c>
      <x:c r="T14" s="24"/>
      <x:c r="U14" s="24"/>
      <x:c r="V14" s="24"/>
      <x:c r="W14" s="23" t="str">
        <x:v>Personalize first outreach</x:v>
      </x:c>
      <x:c r="X14" s="23" t="str"/>
      <x:c r="Y14" s="23" t="str">
        <x:v>Unknown</x:v>
      </x:c>
      <x:c r="Z14" s="23" t="str">
        <x:v>No</x:v>
      </x:c>
      <x:c r="AA14" s="23" t="str">
        <x:v>City research rank 9.</x:v>
      </x:c>
    </x:row>
    <x:row r="15" ht="40.5" customHeight="1">
      <x:c r="A15" s="23" t="str">
        <x:v>NAS-10</x:v>
      </x:c>
      <x:c r="B15" s="23" t="str">
        <x:v>Lisa Marie Pezzarello Line Dance</x:v>
      </x:c>
      <x:c r="C15" s="23" t="str">
        <x:v>Lisa Marie Pezzarello</x:v>
      </x:c>
      <x:c r="D15" s="23" t="str">
        <x:v>Nashville</x:v>
      </x:c>
      <x:c r="E15" s="23" t="str">
        <x:v>TN</x:v>
      </x:c>
      <x:c r="F15" s="23" t="str">
        <x:v>Independent instructor</x:v>
      </x:c>
      <x:c r="G15" s="23" t="str">
        <x:v>Line dance instruction and creator content</x:v>
      </x:c>
      <x:c r="H15" s="23" t="str">
        <x:v>P3</x:v>
      </x:c>
      <x:c r="I15" s="23" t="str">
        <x:v>Researched</x:v>
      </x:c>
      <x:c r="J15" s="23" t="str">
        <x:v>Email</x:v>
      </x:c>
      <x:c r="K15" s="23" t="str">
        <x:v>Lisamariepezzarello@yahoo.com</x:v>
      </x:c>
      <x:c r="L15" s="23" t="str">
        <x:v>Public business email</x:v>
      </x:c>
      <x:c r="M15" s="25" t="str">
        <x:v>https://www.instagram.com/lisamariepezzarello/</x:v>
      </x:c>
      <x:c r="N15" s="25" t="str"/>
      <x:c r="O15" s="25" t="str">
        <x:v>https://www.instagram.com/lisamariepezzarello/</x:v>
      </x:c>
      <x:c r="P15" s="25" t="str">
        <x:v>https://influencers.club/top-influencers/line-dances/</x:v>
      </x:c>
      <x:c r="Q15" s="23" t="str">
        <x:v>Nashville instructor and creator with a meaningful public social following.</x:v>
      </x:c>
      <x:c r="R15" s="23" t="str">
        <x:v>Verified public social</x:v>
      </x:c>
      <x:c r="S15" s="24" t="n">
        <x:v>46239.666666666664</x:v>
      </x:c>
      <x:c r="T15" s="24"/>
      <x:c r="U15" s="24"/>
      <x:c r="V15" s="24"/>
      <x:c r="W15" s="23" t="str">
        <x:v>Personalize first outreach</x:v>
      </x:c>
      <x:c r="X15" s="23" t="str"/>
      <x:c r="Y15" s="23" t="str">
        <x:v>Unknown</x:v>
      </x:c>
      <x:c r="Z15" s="23" t="str">
        <x:v>No</x:v>
      </x:c>
      <x:c r="AA15" s="23" t="str">
        <x:v>City research rank 10.</x:v>
      </x:c>
    </x:row>
    <x:row r="16" ht="40.5" customHeight="1">
      <x:c r="A16" s="23" t="str">
        <x:v>FWT-01</x:v>
      </x:c>
      <x:c r="B16" s="23" t="str">
        <x:v>Dance Suzy</x:v>
      </x:c>
      <x:c r="C16" s="23" t="str">
        <x:v>Suzy Ashmore</x:v>
      </x:c>
      <x:c r="D16" s="23" t="str">
        <x:v>Fort Worth</x:v>
      </x:c>
      <x:c r="E16" s="23" t="str">
        <x:v>TX</x:v>
      </x:c>
      <x:c r="F16" s="23" t="str">
        <x:v>Independent instructor</x:v>
      </x:c>
      <x:c r="G16" s="23" t="str">
        <x:v>Line dance instruction, workshops, Stagecoach Ballroom classes</x:v>
      </x:c>
      <x:c r="H16" s="23" t="str">
        <x:v>P1</x:v>
      </x:c>
      <x:c r="I16" s="23" t="str">
        <x:v>Researched</x:v>
      </x:c>
      <x:c r="J16" s="23" t="str">
        <x:v>Email</x:v>
      </x:c>
      <x:c r="K16" s="23" t="str">
        <x:v>dancesuzy@gmail.com</x:v>
      </x:c>
      <x:c r="L16" s="23" t="str">
        <x:v>Public business email</x:v>
      </x:c>
      <x:c r="M16" s="25" t="str"/>
      <x:c r="N16" s="25" t="str"/>
      <x:c r="O16" s="25" t="str">
        <x:v>https://texaslinedancejamboree.com/instructors-list/</x:v>
      </x:c>
      <x:c r="P16" s="25" t="str">
        <x:v>https://texaslinedancejamboree.com/instructors-list/</x:v>
      </x:c>
      <x:c r="Q16" s="23" t="str">
        <x:v>Fort Worth instructor with current regional-event visibility and an association-listed email.</x:v>
      </x:c>
      <x:c r="R16" s="23" t="str">
        <x:v>Verified association list</x:v>
      </x:c>
      <x:c r="S16" s="24" t="n">
        <x:v>46239.666666666664</x:v>
      </x:c>
      <x:c r="T16" s="24"/>
      <x:c r="U16" s="24"/>
      <x:c r="V16" s="24"/>
      <x:c r="W16" s="23" t="str">
        <x:v>Personalize first outreach</x:v>
      </x:c>
      <x:c r="X16" s="23" t="str"/>
      <x:c r="Y16" s="23" t="str">
        <x:v>Unknown</x:v>
      </x:c>
      <x:c r="Z16" s="23" t="str">
        <x:v>No</x:v>
      </x:c>
      <x:c r="AA16" s="23" t="str">
        <x:v>City research rank 1.</x:v>
      </x:c>
    </x:row>
    <x:row r="17" ht="40.5" customHeight="1">
      <x:c r="A17" s="23" t="str">
        <x:v>FWT-02</x:v>
      </x:c>
      <x:c r="B17" s="23" t="str">
        <x:v>Billy Bob's Texas Dance Lessons</x:v>
      </x:c>
      <x:c r="C17" s="23" t="str">
        <x:v>Bill</x:v>
      </x:c>
      <x:c r="D17" s="23" t="str">
        <x:v>Fort Worth</x:v>
      </x:c>
      <x:c r="E17" s="23" t="str">
        <x:v>TX</x:v>
      </x:c>
      <x:c r="F17" s="23" t="str">
        <x:v>Venue-based instructor lead</x:v>
      </x:c>
      <x:c r="G17" s="23" t="str">
        <x:v>Public line dance lessons at Billy Bob's Texas</x:v>
      </x:c>
      <x:c r="H17" s="23" t="str">
        <x:v>P1</x:v>
      </x:c>
      <x:c r="I17" s="23" t="str">
        <x:v>Researched</x:v>
      </x:c>
      <x:c r="J17" s="23" t="str">
        <x:v>Email</x:v>
      </x:c>
      <x:c r="K17" s="23" t="str">
        <x:v>cwdancebywill.bonnie@gmail.com</x:v>
      </x:c>
      <x:c r="L17" s="23" t="str">
        <x:v>Shared business email</x:v>
      </x:c>
      <x:c r="M17" s="25" t="str"/>
      <x:c r="N17" s="25" t="str"/>
      <x:c r="O17" s="25" t="str">
        <x:v>https://www.billybobstexas.com/events/activities/dancing</x:v>
      </x:c>
      <x:c r="P17" s="25" t="str">
        <x:v>https://www.billybobstexas.com/events/activities/dancing</x:v>
      </x:c>
      <x:c r="Q17" s="23" t="str">
        <x:v>Instructor at one of Fort Worth's highest-visibility country venues.</x:v>
      </x:c>
      <x:c r="R17" s="23" t="str">
        <x:v>Verified official site</x:v>
      </x:c>
      <x:c r="S17" s="24" t="n">
        <x:v>46239.666666666664</x:v>
      </x:c>
      <x:c r="T17" s="24"/>
      <x:c r="U17" s="24"/>
      <x:c r="V17" s="24"/>
      <x:c r="W17" s="23" t="str">
        <x:v>Personalize first outreach</x:v>
      </x:c>
      <x:c r="X17" s="23" t="str"/>
      <x:c r="Y17" s="23" t="str">
        <x:v>Unknown</x:v>
      </x:c>
      <x:c r="Z17" s="23" t="str">
        <x:v>No</x:v>
      </x:c>
      <x:c r="AA17" s="23" t="str">
        <x:v>City research rank 2. Public professional first name used by the venue.</x:v>
      </x:c>
    </x:row>
    <x:row r="18" ht="40.5" customHeight="1">
      <x:c r="A18" s="23" t="str">
        <x:v>FWT-03</x:v>
      </x:c>
      <x:c r="B18" s="23" t="str">
        <x:v>Billy Bob's Texas Dance Lessons</x:v>
      </x:c>
      <x:c r="C18" s="23" t="str">
        <x:v>Bonnie</x:v>
      </x:c>
      <x:c r="D18" s="23" t="str">
        <x:v>Fort Worth</x:v>
      </x:c>
      <x:c r="E18" s="23" t="str">
        <x:v>TX</x:v>
      </x:c>
      <x:c r="F18" s="23" t="str">
        <x:v>Venue-based instructor lead</x:v>
      </x:c>
      <x:c r="G18" s="23" t="str">
        <x:v>Public line dance lessons at Billy Bob's Texas</x:v>
      </x:c>
      <x:c r="H18" s="23" t="str">
        <x:v>P1</x:v>
      </x:c>
      <x:c r="I18" s="23" t="str">
        <x:v>Researched</x:v>
      </x:c>
      <x:c r="J18" s="23" t="str">
        <x:v>Email</x:v>
      </x:c>
      <x:c r="K18" s="23" t="str">
        <x:v>cwdancebywill.bonnie@gmail.com</x:v>
      </x:c>
      <x:c r="L18" s="23" t="str">
        <x:v>Shared business email</x:v>
      </x:c>
      <x:c r="M18" s="25" t="str"/>
      <x:c r="N18" s="25" t="str"/>
      <x:c r="O18" s="25" t="str">
        <x:v>https://www.billybobstexas.com/events/activities/dancing</x:v>
      </x:c>
      <x:c r="P18" s="25" t="str">
        <x:v>https://www.billybobstexas.com/events/activities/dancing</x:v>
      </x:c>
      <x:c r="Q18" s="23" t="str">
        <x:v>Instructor at one of Fort Worth's highest-visibility country venues.</x:v>
      </x:c>
      <x:c r="R18" s="23" t="str">
        <x:v>Verified official site</x:v>
      </x:c>
      <x:c r="S18" s="24" t="n">
        <x:v>46239.666666666664</x:v>
      </x:c>
      <x:c r="T18" s="24"/>
      <x:c r="U18" s="24"/>
      <x:c r="V18" s="24"/>
      <x:c r="W18" s="23" t="str">
        <x:v>Personalize first outreach</x:v>
      </x:c>
      <x:c r="X18" s="23" t="str"/>
      <x:c r="Y18" s="23" t="str">
        <x:v>Unknown</x:v>
      </x:c>
      <x:c r="Z18" s="23" t="str">
        <x:v>No</x:v>
      </x:c>
      <x:c r="AA18" s="23" t="str">
        <x:v>City research rank 3. Public professional first name used by the venue.</x:v>
      </x:c>
    </x:row>
    <x:row r="19" ht="40.5" customHeight="1">
      <x:c r="A19" s="23" t="str">
        <x:v>FWT-04</x:v>
      </x:c>
      <x:c r="B19" s="23" t="str">
        <x:v>Independent Fort Worth Instructor</x:v>
      </x:c>
      <x:c r="C19" s="23" t="str">
        <x:v>Fleeta Burns</x:v>
      </x:c>
      <x:c r="D19" s="23" t="str">
        <x:v>Fort Worth</x:v>
      </x:c>
      <x:c r="E19" s="23" t="str">
        <x:v>TX</x:v>
      </x:c>
      <x:c r="F19" s="23" t="str">
        <x:v>Independent instructor</x:v>
      </x:c>
      <x:c r="G19" s="23" t="str">
        <x:v>Line dance instruction and regional workshops</x:v>
      </x:c>
      <x:c r="H19" s="23" t="str">
        <x:v>P2</x:v>
      </x:c>
      <x:c r="I19" s="23" t="str">
        <x:v>Researched</x:v>
      </x:c>
      <x:c r="J19" s="23" t="str">
        <x:v>Email</x:v>
      </x:c>
      <x:c r="K19" s="23" t="str">
        <x:v>kfmb20@yahoo.com</x:v>
      </x:c>
      <x:c r="L19" s="23" t="str">
        <x:v>Public business email</x:v>
      </x:c>
      <x:c r="M19" s="25" t="str"/>
      <x:c r="N19" s="25" t="str"/>
      <x:c r="O19" s="25" t="str">
        <x:v>https://texaslinedancejamboree.com/instructors-list/</x:v>
      </x:c>
      <x:c r="P19" s="25" t="str">
        <x:v>https://texaslinedancejamboree.com/instructors-list/</x:v>
      </x:c>
      <x:c r="Q19" s="23" t="str">
        <x:v>Fort Worth-area instructor listed on the current Texas Line Dance Jamboree roster.</x:v>
      </x:c>
      <x:c r="R19" s="23" t="str">
        <x:v>Verified association list</x:v>
      </x:c>
      <x:c r="S19" s="24" t="n">
        <x:v>46239.666666666664</x:v>
      </x:c>
      <x:c r="T19" s="24"/>
      <x:c r="U19" s="24"/>
      <x:c r="V19" s="24"/>
      <x:c r="W19" s="23" t="str">
        <x:v>Personalize first outreach</x:v>
      </x:c>
      <x:c r="X19" s="23" t="str"/>
      <x:c r="Y19" s="23" t="str">
        <x:v>Unknown</x:v>
      </x:c>
      <x:c r="Z19" s="23" t="str">
        <x:v>No</x:v>
      </x:c>
      <x:c r="AA19" s="23" t="str">
        <x:v>City research rank 4.</x:v>
      </x:c>
    </x:row>
    <x:row r="20" ht="40.5" customHeight="1">
      <x:c r="A20" s="23" t="str">
        <x:v>FWT-05</x:v>
      </x:c>
      <x:c r="B20" s="23" t="str">
        <x:v>Independent Fort Worth Instructor</x:v>
      </x:c>
      <x:c r="C20" s="23" t="str">
        <x:v>Marcia Riebe</x:v>
      </x:c>
      <x:c r="D20" s="23" t="str">
        <x:v>Fort Worth</x:v>
      </x:c>
      <x:c r="E20" s="23" t="str">
        <x:v>TX</x:v>
      </x:c>
      <x:c r="F20" s="23" t="str">
        <x:v>Independent instructor</x:v>
      </x:c>
      <x:c r="G20" s="23" t="str">
        <x:v>Line dance instruction and events</x:v>
      </x:c>
      <x:c r="H20" s="23" t="str">
        <x:v>P2</x:v>
      </x:c>
      <x:c r="I20" s="23" t="str">
        <x:v>Researched</x:v>
      </x:c>
      <x:c r="J20" s="23" t="str">
        <x:v>Email</x:v>
      </x:c>
      <x:c r="K20" s="23" t="str">
        <x:v>marcia.riebe@gmail.com</x:v>
      </x:c>
      <x:c r="L20" s="23" t="str">
        <x:v>Public business email</x:v>
      </x:c>
      <x:c r="M20" s="25" t="str"/>
      <x:c r="N20" s="25" t="str"/>
      <x:c r="O20" s="25" t="str">
        <x:v>https://texaslinedancejamboree.com/instructors-list/</x:v>
      </x:c>
      <x:c r="P20" s="25" t="str">
        <x:v>https://texaslinedancejamboree.com/instructors-list/</x:v>
      </x:c>
      <x:c r="Q20" s="23" t="str">
        <x:v>Fort Worth-area instructor listed on the current Texas Line Dance Jamboree roster.</x:v>
      </x:c>
      <x:c r="R20" s="23" t="str">
        <x:v>Verified association list</x:v>
      </x:c>
      <x:c r="S20" s="24" t="n">
        <x:v>46239.666666666664</x:v>
      </x:c>
      <x:c r="T20" s="24"/>
      <x:c r="U20" s="24"/>
      <x:c r="V20" s="24"/>
      <x:c r="W20" s="23" t="str">
        <x:v>Personalize first outreach</x:v>
      </x:c>
      <x:c r="X20" s="23" t="str"/>
      <x:c r="Y20" s="23" t="str">
        <x:v>Unknown</x:v>
      </x:c>
      <x:c r="Z20" s="23" t="str">
        <x:v>No</x:v>
      </x:c>
      <x:c r="AA20" s="23" t="str">
        <x:v>City research rank 5.</x:v>
      </x:c>
    </x:row>
    <x:row r="21" ht="40.5" customHeight="1">
      <x:c r="A21" s="23" t="str">
        <x:v>FWT-06</x:v>
      </x:c>
      <x:c r="B21" s="23" t="str">
        <x:v>Independent Fort Worth Instructor</x:v>
      </x:c>
      <x:c r="C21" s="23" t="str">
        <x:v>Judy Sides</x:v>
      </x:c>
      <x:c r="D21" s="23" t="str">
        <x:v>Fort Worth</x:v>
      </x:c>
      <x:c r="E21" s="23" t="str">
        <x:v>TX</x:v>
      </x:c>
      <x:c r="F21" s="23" t="str">
        <x:v>Independent instructor</x:v>
      </x:c>
      <x:c r="G21" s="23" t="str">
        <x:v>Line dance instruction and events</x:v>
      </x:c>
      <x:c r="H21" s="23" t="str">
        <x:v>P2</x:v>
      </x:c>
      <x:c r="I21" s="23" t="str">
        <x:v>Researched</x:v>
      </x:c>
      <x:c r="J21" s="23" t="str">
        <x:v>Email</x:v>
      </x:c>
      <x:c r="K21" s="23" t="str">
        <x:v>exersides@gmail.com</x:v>
      </x:c>
      <x:c r="L21" s="23" t="str">
        <x:v>Public business email</x:v>
      </x:c>
      <x:c r="M21" s="25" t="str"/>
      <x:c r="N21" s="25" t="str"/>
      <x:c r="O21" s="25" t="str">
        <x:v>https://texaslinedancejamboree.com/instructors-list/</x:v>
      </x:c>
      <x:c r="P21" s="25" t="str">
        <x:v>https://texaslinedancejamboree.com/instructors-list/</x:v>
      </x:c>
      <x:c r="Q21" s="23" t="str">
        <x:v>Fort Worth-area instructor listed on the current Texas Line Dance Jamboree roster.</x:v>
      </x:c>
      <x:c r="R21" s="23" t="str">
        <x:v>Verified association list</x:v>
      </x:c>
      <x:c r="S21" s="24" t="n">
        <x:v>46239.666666666664</x:v>
      </x:c>
      <x:c r="T21" s="24"/>
      <x:c r="U21" s="24"/>
      <x:c r="V21" s="24"/>
      <x:c r="W21" s="23" t="str">
        <x:v>Personalize first outreach</x:v>
      </x:c>
      <x:c r="X21" s="23" t="str"/>
      <x:c r="Y21" s="23" t="str">
        <x:v>Unknown</x:v>
      </x:c>
      <x:c r="Z21" s="23" t="str">
        <x:v>No</x:v>
      </x:c>
      <x:c r="AA21" s="23" t="str">
        <x:v>City research rank 6.</x:v>
      </x:c>
    </x:row>
    <x:row r="22" ht="40.5" customHeight="1">
      <x:c r="A22" s="23" t="str">
        <x:v>FWT-07</x:v>
      </x:c>
      <x:c r="B22" s="23" t="str">
        <x:v>Independent Fort Worth Instructor</x:v>
      </x:c>
      <x:c r="C22" s="23" t="str">
        <x:v>Penny Williams</x:v>
      </x:c>
      <x:c r="D22" s="23" t="str">
        <x:v>Fort Worth</x:v>
      </x:c>
      <x:c r="E22" s="23" t="str">
        <x:v>TX</x:v>
      </x:c>
      <x:c r="F22" s="23" t="str">
        <x:v>Independent instructor</x:v>
      </x:c>
      <x:c r="G22" s="23" t="str">
        <x:v>Line dance instruction and events</x:v>
      </x:c>
      <x:c r="H22" s="23" t="str">
        <x:v>P2</x:v>
      </x:c>
      <x:c r="I22" s="23" t="str">
        <x:v>Researched</x:v>
      </x:c>
      <x:c r="J22" s="23" t="str">
        <x:v>Email</x:v>
      </x:c>
      <x:c r="K22" s="23" t="str">
        <x:v>willpennyjane@yahoo.com</x:v>
      </x:c>
      <x:c r="L22" s="23" t="str">
        <x:v>Public business email</x:v>
      </x:c>
      <x:c r="M22" s="25" t="str"/>
      <x:c r="N22" s="25" t="str"/>
      <x:c r="O22" s="25" t="str">
        <x:v>https://texaslinedancejamboree.com/instructors-list/</x:v>
      </x:c>
      <x:c r="P22" s="25" t="str">
        <x:v>https://texaslinedancejamboree.com/instructors-list/</x:v>
      </x:c>
      <x:c r="Q22" s="23" t="str">
        <x:v>Fort Worth-area instructor listed on the current Texas Line Dance Jamboree roster.</x:v>
      </x:c>
      <x:c r="R22" s="23" t="str">
        <x:v>Verified association list</x:v>
      </x:c>
      <x:c r="S22" s="24" t="n">
        <x:v>46239.666666666664</x:v>
      </x:c>
      <x:c r="T22" s="24"/>
      <x:c r="U22" s="24"/>
      <x:c r="V22" s="24"/>
      <x:c r="W22" s="23" t="str">
        <x:v>Personalize first outreach</x:v>
      </x:c>
      <x:c r="X22" s="23" t="str"/>
      <x:c r="Y22" s="23" t="str">
        <x:v>Unknown</x:v>
      </x:c>
      <x:c r="Z22" s="23" t="str">
        <x:v>No</x:v>
      </x:c>
      <x:c r="AA22" s="23" t="str">
        <x:v>City research rank 7.</x:v>
      </x:c>
    </x:row>
    <x:row r="23" ht="40.5" customHeight="1">
      <x:c r="A23" s="23" t="str">
        <x:v>FWT-08</x:v>
      </x:c>
      <x:c r="B23" s="23" t="str">
        <x:v>Dance With Briana</x:v>
      </x:c>
      <x:c r="C23" s="23" t="str">
        <x:v>Briana</x:v>
      </x:c>
      <x:c r="D23" s="23" t="str">
        <x:v>Fort Worth</x:v>
      </x:c>
      <x:c r="E23" s="23" t="str">
        <x:v>TX</x:v>
      </x:c>
      <x:c r="F23" s="23" t="str">
        <x:v>Independent instructor</x:v>
      </x:c>
      <x:c r="G23" s="23" t="str">
        <x:v>Private lessons, country dance events, choreography</x:v>
      </x:c>
      <x:c r="H23" s="23" t="str">
        <x:v>P3</x:v>
      </x:c>
      <x:c r="I23" s="23" t="str">
        <x:v>Researched</x:v>
      </x:c>
      <x:c r="J23" s="23" t="str">
        <x:v>Instagram</x:v>
      </x:c>
      <x:c r="K23" s="23" t="str"/>
      <x:c r="L23" s="23" t="str">
        <x:v>Not found</x:v>
      </x:c>
      <x:c r="M23" s="25" t="str">
        <x:v>https://www.instagram.com/dancewithbri_/</x:v>
      </x:c>
      <x:c r="N23" s="25" t="str">
        <x:v>https://www.tiktok.com/@dancewithbri_</x:v>
      </x:c>
      <x:c r="O23" s="25" t="str">
        <x:v>https://dancewithbriana.com/</x:v>
      </x:c>
      <x:c r="P23" s="25" t="str">
        <x:v>https://dancewithbriana.com/</x:v>
      </x:c>
      <x:c r="Q23" s="23" t="str">
        <x:v>Fort Worth-area instructor with a dedicated public teaching brand and booking site.</x:v>
      </x:c>
      <x:c r="R23" s="23" t="str">
        <x:v>Verified official site</x:v>
      </x:c>
      <x:c r="S23" s="24" t="n">
        <x:v>46239.666666666664</x:v>
      </x:c>
      <x:c r="T23" s="24"/>
      <x:c r="U23" s="24"/>
      <x:c r="V23" s="24"/>
      <x:c r="W23" s="23" t="str">
        <x:v>Personalize first outreach</x:v>
      </x:c>
      <x:c r="X23" s="23" t="str"/>
      <x:c r="Y23" s="23" t="str">
        <x:v>Unknown</x:v>
      </x:c>
      <x:c r="Z23" s="23" t="str">
        <x:v>No</x:v>
      </x:c>
      <x:c r="AA23" s="23" t="str">
        <x:v>City research rank 8. Public professional first name used on the official site.</x:v>
      </x:c>
    </x:row>
    <x:row r="24" ht="40.5" customHeight="1">
      <x:c r="A24" s="23" t="str">
        <x:v>FWT-09</x:v>
      </x:c>
      <x:c r="B24" s="23" t="str">
        <x:v>Southwest Collectors Association Line Dance</x:v>
      </x:c>
      <x:c r="C24" s="23" t="str">
        <x:v>Kevin Kelsey</x:v>
      </x:c>
      <x:c r="D24" s="23" t="str">
        <x:v>Fort Worth</x:v>
      </x:c>
      <x:c r="E24" s="23" t="str">
        <x:v>TX</x:v>
      </x:c>
      <x:c r="F24" s="23" t="str">
        <x:v>Independent instructor</x:v>
      </x:c>
      <x:c r="G24" s="23" t="str">
        <x:v>Community event line dance instruction</x:v>
      </x:c>
      <x:c r="H24" s="23" t="str">
        <x:v>P3</x:v>
      </x:c>
      <x:c r="I24" s="23" t="str">
        <x:v>Researched</x:v>
      </x:c>
      <x:c r="J24" s="23" t="str">
        <x:v>Referral</x:v>
      </x:c>
      <x:c r="K24" s="23" t="str"/>
      <x:c r="L24" s="23" t="str">
        <x:v>Not found</x:v>
      </x:c>
      <x:c r="M24" s="25" t="str"/>
      <x:c r="N24" s="25" t="str"/>
      <x:c r="O24" s="25" t="str">
        <x:v>https://www.southwestcollectors.org/issues/SWCA_Collector_Summer2024.pdf</x:v>
      </x:c>
      <x:c r="P24" s="25" t="str">
        <x:v>https://www.southwestcollectors.org/issues/SWCA_Collector_Summer2024.pdf</x:v>
      </x:c>
      <x:c r="Q24" s="23" t="str">
        <x:v>Publicly named Fort Worth-area event instructor with community-event visibility.</x:v>
      </x:c>
      <x:c r="R24" s="23" t="str">
        <x:v>Venue or event route</x:v>
      </x:c>
      <x:c r="S24" s="24" t="n">
        <x:v>46239.666666666664</x:v>
      </x:c>
      <x:c r="T24" s="24"/>
      <x:c r="U24" s="24"/>
      <x:c r="V24" s="24"/>
      <x:c r="W24" s="23" t="str">
        <x:v>Request current contact through event organizer</x:v>
      </x:c>
      <x:c r="X24" s="23" t="str"/>
      <x:c r="Y24" s="23" t="str">
        <x:v>Unknown</x:v>
      </x:c>
      <x:c r="Z24" s="23" t="str">
        <x:v>No</x:v>
      </x:c>
      <x:c r="AA24" s="23" t="str">
        <x:v>City research rank 9.</x:v>
      </x:c>
    </x:row>
    <x:row r="25" ht="40.5" customHeight="1">
      <x:c r="A25" s="23" t="str">
        <x:v>FWT-10</x:v>
      </x:c>
      <x:c r="B25" s="23" t="str">
        <x:v>Southwest Collectors Association Line Dance</x:v>
      </x:c>
      <x:c r="C25" s="23" t="str">
        <x:v>Samantha Kelsey</x:v>
      </x:c>
      <x:c r="D25" s="23" t="str">
        <x:v>Fort Worth</x:v>
      </x:c>
      <x:c r="E25" s="23" t="str">
        <x:v>TX</x:v>
      </x:c>
      <x:c r="F25" s="23" t="str">
        <x:v>Independent instructor</x:v>
      </x:c>
      <x:c r="G25" s="23" t="str">
        <x:v>Community event line dance instruction</x:v>
      </x:c>
      <x:c r="H25" s="23" t="str">
        <x:v>P3</x:v>
      </x:c>
      <x:c r="I25" s="23" t="str">
        <x:v>Researched</x:v>
      </x:c>
      <x:c r="J25" s="23" t="str">
        <x:v>Referral</x:v>
      </x:c>
      <x:c r="K25" s="23" t="str"/>
      <x:c r="L25" s="23" t="str">
        <x:v>Not found</x:v>
      </x:c>
      <x:c r="M25" s="25" t="str"/>
      <x:c r="N25" s="25" t="str"/>
      <x:c r="O25" s="25" t="str">
        <x:v>https://www.southwestcollectors.org/issues/SWCA_Collector_Summer2024.pdf</x:v>
      </x:c>
      <x:c r="P25" s="25" t="str">
        <x:v>https://www.southwestcollectors.org/issues/SWCA_Collector_Summer2024.pdf</x:v>
      </x:c>
      <x:c r="Q25" s="23" t="str">
        <x:v>Publicly named Fort Worth-area event instructor with community-event visibility.</x:v>
      </x:c>
      <x:c r="R25" s="23" t="str">
        <x:v>Venue or event route</x:v>
      </x:c>
      <x:c r="S25" s="24" t="n">
        <x:v>46239.666666666664</x:v>
      </x:c>
      <x:c r="T25" s="24"/>
      <x:c r="U25" s="24"/>
      <x:c r="V25" s="24"/>
      <x:c r="W25" s="23" t="str">
        <x:v>Request current contact through event organizer</x:v>
      </x:c>
      <x:c r="X25" s="23" t="str"/>
      <x:c r="Y25" s="23" t="str">
        <x:v>Unknown</x:v>
      </x:c>
      <x:c r="Z25" s="23" t="str">
        <x:v>No</x:v>
      </x:c>
      <x:c r="AA25" s="23" t="str">
        <x:v>City research rank 10.</x:v>
      </x:c>
    </x:row>
    <x:row r="26" ht="40.5" customHeight="1">
      <x:c r="A26" s="23" t="str">
        <x:v>AUS-01</x:v>
      </x:c>
      <x:c r="B26" s="23" t="str">
        <x:v>Double or Nothing Two-Step</x:v>
      </x:c>
      <x:c r="C26" s="23" t="str">
        <x:v>Vanessa Vaught</x:v>
      </x:c>
      <x:c r="D26" s="23" t="str">
        <x:v>Austin</x:v>
      </x:c>
      <x:c r="E26" s="23" t="str">
        <x:v>TX</x:v>
      </x:c>
      <x:c r="F26" s="23" t="str">
        <x:v>Independent instructor</x:v>
      </x:c>
      <x:c r="G26" s="23" t="str">
        <x:v>Private groups, corporate events, line dance</x:v>
      </x:c>
      <x:c r="H26" s="23" t="str">
        <x:v>P1</x:v>
      </x:c>
      <x:c r="I26" s="23" t="str">
        <x:v>Researched</x:v>
      </x:c>
      <x:c r="J26" s="23" t="str">
        <x:v>Email</x:v>
      </x:c>
      <x:c r="K26" s="23" t="str">
        <x:v>events@doubleornothingtwostep.com</x:v>
      </x:c>
      <x:c r="L26" s="23" t="str">
        <x:v>Public business email</x:v>
      </x:c>
      <x:c r="M26" s="25" t="str">
        <x:v>https://www.instagram.com/doubleornothingtwostep/</x:v>
      </x:c>
      <x:c r="N26" s="25" t="str"/>
      <x:c r="O26" s="25" t="str">
        <x:v>https://www.doubleornothingtwostep.com/</x:v>
      </x:c>
      <x:c r="P26" s="25" t="str">
        <x:v>https://www.doubleornothingtwostep.com/bachelorette-party-austin</x:v>
      </x:c>
      <x:c r="Q26" s="23" t="str">
        <x:v>Award-winning Austin instructor with more than 200 public five-star reviews and strong event positioning.</x:v>
      </x:c>
      <x:c r="R26" s="23" t="str">
        <x:v>Verified official site</x:v>
      </x:c>
      <x:c r="S26" s="24" t="n">
        <x:v>46239.666666666664</x:v>
      </x:c>
      <x:c r="T26" s="24"/>
      <x:c r="U26" s="24"/>
      <x:c r="V26" s="24"/>
      <x:c r="W26" s="23" t="str">
        <x:v>Personalize first outreach</x:v>
      </x:c>
      <x:c r="X26" s="23" t="str"/>
      <x:c r="Y26" s="23" t="str">
        <x:v>Unknown</x:v>
      </x:c>
      <x:c r="Z26" s="23" t="str">
        <x:v>No</x:v>
      </x:c>
      <x:c r="AA26" s="23" t="str">
        <x:v>City research rank 1.</x:v>
      </x:c>
    </x:row>
    <x:row r="27" ht="40.5" customHeight="1">
      <x:c r="A27" s="23" t="str">
        <x:v>AUS-02</x:v>
      </x:c>
      <x:c r="B27" s="23" t="str">
        <x:v>Country Fried Dance</x:v>
      </x:c>
      <x:c r="C27" s="23" t="str">
        <x:v>Nico Osier</x:v>
      </x:c>
      <x:c r="D27" s="23" t="str">
        <x:v>Austin</x:v>
      </x:c>
      <x:c r="E27" s="23" t="str">
        <x:v>TX</x:v>
      </x:c>
      <x:c r="F27" s="23" t="str">
        <x:v>Independent instructor</x:v>
      </x:c>
      <x:c r="G27" s="23" t="str">
        <x:v>Private lessons, groups, corporate events</x:v>
      </x:c>
      <x:c r="H27" s="23" t="str">
        <x:v>P1</x:v>
      </x:c>
      <x:c r="I27" s="23" t="str">
        <x:v>Researched</x:v>
      </x:c>
      <x:c r="J27" s="23" t="str">
        <x:v>Email</x:v>
      </x:c>
      <x:c r="K27" s="23" t="str">
        <x:v>CountryFriedDance@gmail.com</x:v>
      </x:c>
      <x:c r="L27" s="23" t="str">
        <x:v>Public business email</x:v>
      </x:c>
      <x:c r="M27" s="25" t="str">
        <x:v>https://www.instagram.com/countryfrieddance/</x:v>
      </x:c>
      <x:c r="N27" s="25" t="str"/>
      <x:c r="O27" s="25" t="str">
        <x:v>https://countryfrieddance.com/</x:v>
      </x:c>
      <x:c r="P27" s="25" t="str">
        <x:v>https://countryfrieddance.com/</x:v>
      </x:c>
      <x:c r="Q27" s="23" t="str">
        <x:v>High-visibility Austin instructor teaching at current venues and featured in local media and music projects.</x:v>
      </x:c>
      <x:c r="R27" s="23" t="str">
        <x:v>Verified official site</x:v>
      </x:c>
      <x:c r="S27" s="24" t="n">
        <x:v>46239.666666666664</x:v>
      </x:c>
      <x:c r="T27" s="24"/>
      <x:c r="U27" s="24"/>
      <x:c r="V27" s="24"/>
      <x:c r="W27" s="23" t="str">
        <x:v>Personalize first outreach</x:v>
      </x:c>
      <x:c r="X27" s="23" t="str"/>
      <x:c r="Y27" s="23" t="str">
        <x:v>Unknown</x:v>
      </x:c>
      <x:c r="Z27" s="23" t="str">
        <x:v>No</x:v>
      </x:c>
      <x:c r="AA27" s="23" t="str">
        <x:v>City research rank 2.</x:v>
      </x:c>
    </x:row>
    <x:row r="28" ht="40.5" customHeight="1">
      <x:c r="A28" s="23" t="str">
        <x:v>AUS-03</x:v>
      </x:c>
      <x:c r="B28" s="23" t="str">
        <x:v>Native Texan Two Step</x:v>
      </x:c>
      <x:c r="C28" s="23" t="str">
        <x:v>Eric Moreno</x:v>
      </x:c>
      <x:c r="D28" s="23" t="str">
        <x:v>Austin</x:v>
      </x:c>
      <x:c r="E28" s="23" t="str">
        <x:v>TX</x:v>
      </x:c>
      <x:c r="F28" s="23" t="str">
        <x:v>Instructor team</x:v>
      </x:c>
      <x:c r="G28" s="23" t="str">
        <x:v>Private lessons, groups, events</x:v>
      </x:c>
      <x:c r="H28" s="23" t="str">
        <x:v>P1</x:v>
      </x:c>
      <x:c r="I28" s="23" t="str">
        <x:v>Researched</x:v>
      </x:c>
      <x:c r="J28" s="23" t="str">
        <x:v>Email</x:v>
      </x:c>
      <x:c r="K28" s="23" t="str">
        <x:v>nativetexantwostep@gmail.com</x:v>
      </x:c>
      <x:c r="L28" s="23" t="str">
        <x:v>Shared business email</x:v>
      </x:c>
      <x:c r="M28" s="25" t="str">
        <x:v>https://www.instagram.com/nativetexantwostep/</x:v>
      </x:c>
      <x:c r="N28" s="25" t="str"/>
      <x:c r="O28" s="25" t="str">
        <x:v>https://www.nativetexantwostep.com/</x:v>
      </x:c>
      <x:c r="P28" s="25" t="str">
        <x:v>https://www.nativetexantwostep.com/</x:v>
      </x:c>
      <x:c r="Q28" s="23" t="str">
        <x:v>Co-leads a well-established Austin country dance brand with public classes and private events.</x:v>
      </x:c>
      <x:c r="R28" s="23" t="str">
        <x:v>Verified official site</x:v>
      </x:c>
      <x:c r="S28" s="24" t="n">
        <x:v>46239.666666666664</x:v>
      </x:c>
      <x:c r="T28" s="24"/>
      <x:c r="U28" s="24"/>
      <x:c r="V28" s="24"/>
      <x:c r="W28" s="23" t="str">
        <x:v>Personalize first outreach</x:v>
      </x:c>
      <x:c r="X28" s="23" t="str"/>
      <x:c r="Y28" s="23" t="str">
        <x:v>Unknown</x:v>
      </x:c>
      <x:c r="Z28" s="23" t="str">
        <x:v>No</x:v>
      </x:c>
      <x:c r="AA28" s="23" t="str">
        <x:v>City research rank 3.</x:v>
      </x:c>
    </x:row>
    <x:row r="29" ht="40.5" customHeight="1">
      <x:c r="A29" s="23" t="str">
        <x:v>AUS-04</x:v>
      </x:c>
      <x:c r="B29" s="23" t="str">
        <x:v>Native Texan Two Step</x:v>
      </x:c>
      <x:c r="C29" s="23" t="str">
        <x:v>Keighley Voorheis</x:v>
      </x:c>
      <x:c r="D29" s="23" t="str">
        <x:v>Austin</x:v>
      </x:c>
      <x:c r="E29" s="23" t="str">
        <x:v>TX</x:v>
      </x:c>
      <x:c r="F29" s="23" t="str">
        <x:v>Instructor team</x:v>
      </x:c>
      <x:c r="G29" s="23" t="str">
        <x:v>Private lessons, groups, events</x:v>
      </x:c>
      <x:c r="H29" s="23" t="str">
        <x:v>P2</x:v>
      </x:c>
      <x:c r="I29" s="23" t="str">
        <x:v>Researched</x:v>
      </x:c>
      <x:c r="J29" s="23" t="str">
        <x:v>Email</x:v>
      </x:c>
      <x:c r="K29" s="23" t="str">
        <x:v>nativetexantwostep@gmail.com</x:v>
      </x:c>
      <x:c r="L29" s="23" t="str">
        <x:v>Shared business email</x:v>
      </x:c>
      <x:c r="M29" s="25" t="str">
        <x:v>https://www.instagram.com/nativetexantwostep/</x:v>
      </x:c>
      <x:c r="N29" s="25" t="str"/>
      <x:c r="O29" s="25" t="str">
        <x:v>https://www.nativetexantwostep.com/</x:v>
      </x:c>
      <x:c r="P29" s="25" t="str">
        <x:v>https://www.nativetexantwostep.com/</x:v>
      </x:c>
      <x:c r="Q29" s="23" t="str">
        <x:v>Co-leads a well-established Austin country dance brand with public classes and private events.</x:v>
      </x:c>
      <x:c r="R29" s="23" t="str">
        <x:v>Verified official site</x:v>
      </x:c>
      <x:c r="S29" s="24" t="n">
        <x:v>46239.666666666664</x:v>
      </x:c>
      <x:c r="T29" s="24"/>
      <x:c r="U29" s="24"/>
      <x:c r="V29" s="24"/>
      <x:c r="W29" s="23" t="str">
        <x:v>Personalize first outreach</x:v>
      </x:c>
      <x:c r="X29" s="23" t="str"/>
      <x:c r="Y29" s="23" t="str">
        <x:v>Unknown</x:v>
      </x:c>
      <x:c r="Z29" s="23" t="str">
        <x:v>No</x:v>
      </x:c>
      <x:c r="AA29" s="23" t="str">
        <x:v>City research rank 4.</x:v>
      </x:c>
    </x:row>
    <x:row r="30" ht="40.5" customHeight="1">
      <x:c r="A30" s="23" t="str">
        <x:v>AUS-05</x:v>
      </x:c>
      <x:c r="B30" s="23" t="str">
        <x:v>Independent Austin Instructor</x:v>
      </x:c>
      <x:c r="C30" s="23" t="str">
        <x:v>Amy Glass</x:v>
      </x:c>
      <x:c r="D30" s="23" t="str">
        <x:v>Austin</x:v>
      </x:c>
      <x:c r="E30" s="23" t="str">
        <x:v>TX</x:v>
      </x:c>
      <x:c r="F30" s="23" t="str">
        <x:v>Independent instructor</x:v>
      </x:c>
      <x:c r="G30" s="23" t="str">
        <x:v>Line dance instruction and events</x:v>
      </x:c>
      <x:c r="H30" s="23" t="str">
        <x:v>P2</x:v>
      </x:c>
      <x:c r="I30" s="23" t="str">
        <x:v>Researched</x:v>
      </x:c>
      <x:c r="J30" s="23" t="str">
        <x:v>Email</x:v>
      </x:c>
      <x:c r="K30" s="23" t="str">
        <x:v>amynta@sbcglobal.net</x:v>
      </x:c>
      <x:c r="L30" s="23" t="str">
        <x:v>Public business email</x:v>
      </x:c>
      <x:c r="M30" s="25" t="str"/>
      <x:c r="N30" s="25" t="str"/>
      <x:c r="O30" s="25" t="str">
        <x:v>https://texaslinedancejamboree.com/instructors-list/</x:v>
      </x:c>
      <x:c r="P30" s="25" t="str">
        <x:v>https://texaslinedancejamboree.com/instructors-list/</x:v>
      </x:c>
      <x:c r="Q30" s="23" t="str">
        <x:v>Austin instructor with current Texas Line Dance Jamboree visibility.</x:v>
      </x:c>
      <x:c r="R30" s="23" t="str">
        <x:v>Verified association list</x:v>
      </x:c>
      <x:c r="S30" s="24" t="n">
        <x:v>46239.666666666664</x:v>
      </x:c>
      <x:c r="T30" s="24"/>
      <x:c r="U30" s="24"/>
      <x:c r="V30" s="24"/>
      <x:c r="W30" s="23" t="str">
        <x:v>Personalize first outreach</x:v>
      </x:c>
      <x:c r="X30" s="23" t="str"/>
      <x:c r="Y30" s="23" t="str">
        <x:v>Unknown</x:v>
      </x:c>
      <x:c r="Z30" s="23" t="str">
        <x:v>No</x:v>
      </x:c>
      <x:c r="AA30" s="23" t="str">
        <x:v>City research rank 5.</x:v>
      </x:c>
    </x:row>
    <x:row r="31" ht="40.5" customHeight="1">
      <x:c r="A31" s="23" t="str">
        <x:v>AUS-06</x:v>
      </x:c>
      <x:c r="B31" s="23" t="str">
        <x:v>Independent Austin Instructor</x:v>
      </x:c>
      <x:c r="C31" s="23" t="str">
        <x:v>Jacinto Dominguez</x:v>
      </x:c>
      <x:c r="D31" s="23" t="str">
        <x:v>Austin</x:v>
      </x:c>
      <x:c r="E31" s="23" t="str">
        <x:v>TX</x:v>
      </x:c>
      <x:c r="F31" s="23" t="str">
        <x:v>Independent instructor</x:v>
      </x:c>
      <x:c r="G31" s="23" t="str">
        <x:v>Line dance instruction and events</x:v>
      </x:c>
      <x:c r="H31" s="23" t="str">
        <x:v>P2</x:v>
      </x:c>
      <x:c r="I31" s="23" t="str">
        <x:v>Researched</x:v>
      </x:c>
      <x:c r="J31" s="23" t="str">
        <x:v>Email</x:v>
      </x:c>
      <x:c r="K31" s="23" t="str">
        <x:v>therealjacinto@gmail.com</x:v>
      </x:c>
      <x:c r="L31" s="23" t="str">
        <x:v>Public business email</x:v>
      </x:c>
      <x:c r="M31" s="25" t="str"/>
      <x:c r="N31" s="25" t="str"/>
      <x:c r="O31" s="25" t="str">
        <x:v>https://texaslinedancejamboree.com/instructors-list/</x:v>
      </x:c>
      <x:c r="P31" s="25" t="str">
        <x:v>https://texaslinedancejamboree.com/instructors-list/</x:v>
      </x:c>
      <x:c r="Q31" s="23" t="str">
        <x:v>Austin instructor with current Texas Line Dance Jamboree visibility.</x:v>
      </x:c>
      <x:c r="R31" s="23" t="str">
        <x:v>Verified association list</x:v>
      </x:c>
      <x:c r="S31" s="24" t="n">
        <x:v>46239.666666666664</x:v>
      </x:c>
      <x:c r="T31" s="24"/>
      <x:c r="U31" s="24"/>
      <x:c r="V31" s="24"/>
      <x:c r="W31" s="23" t="str">
        <x:v>Personalize first outreach</x:v>
      </x:c>
      <x:c r="X31" s="23" t="str"/>
      <x:c r="Y31" s="23" t="str">
        <x:v>Unknown</x:v>
      </x:c>
      <x:c r="Z31" s="23" t="str">
        <x:v>No</x:v>
      </x:c>
      <x:c r="AA31" s="23" t="str">
        <x:v>City research rank 6.</x:v>
      </x:c>
    </x:row>
    <x:row r="32" ht="40.5" customHeight="1">
      <x:c r="A32" s="23" t="str">
        <x:v>AUS-07</x:v>
      </x:c>
      <x:c r="B32" s="23" t="str">
        <x:v>Independent Austin Instructor</x:v>
      </x:c>
      <x:c r="C32" s="23" t="str">
        <x:v>Carolina Kandu</x:v>
      </x:c>
      <x:c r="D32" s="23" t="str">
        <x:v>Austin</x:v>
      </x:c>
      <x:c r="E32" s="23" t="str">
        <x:v>TX</x:v>
      </x:c>
      <x:c r="F32" s="23" t="str">
        <x:v>Independent instructor</x:v>
      </x:c>
      <x:c r="G32" s="23" t="str">
        <x:v>Line dance instruction and events</x:v>
      </x:c>
      <x:c r="H32" s="23" t="str">
        <x:v>P2</x:v>
      </x:c>
      <x:c r="I32" s="23" t="str">
        <x:v>Researched</x:v>
      </x:c>
      <x:c r="J32" s="23" t="str">
        <x:v>Email</x:v>
      </x:c>
      <x:c r="K32" s="23" t="str">
        <x:v>ckandu2003@yahoo.com</x:v>
      </x:c>
      <x:c r="L32" s="23" t="str">
        <x:v>Public business email</x:v>
      </x:c>
      <x:c r="M32" s="25" t="str"/>
      <x:c r="N32" s="25" t="str"/>
      <x:c r="O32" s="25" t="str">
        <x:v>https://texaslinedancejamboree.com/instructors-list/</x:v>
      </x:c>
      <x:c r="P32" s="25" t="str">
        <x:v>https://texaslinedancejamboree.com/instructors-list/</x:v>
      </x:c>
      <x:c r="Q32" s="23" t="str">
        <x:v>Austin instructor with current Texas Line Dance Jamboree visibility.</x:v>
      </x:c>
      <x:c r="R32" s="23" t="str">
        <x:v>Verified association list</x:v>
      </x:c>
      <x:c r="S32" s="24" t="n">
        <x:v>46239.666666666664</x:v>
      </x:c>
      <x:c r="T32" s="24"/>
      <x:c r="U32" s="24"/>
      <x:c r="V32" s="24"/>
      <x:c r="W32" s="23" t="str">
        <x:v>Personalize first outreach</x:v>
      </x:c>
      <x:c r="X32" s="23" t="str"/>
      <x:c r="Y32" s="23" t="str">
        <x:v>Unknown</x:v>
      </x:c>
      <x:c r="Z32" s="23" t="str">
        <x:v>No</x:v>
      </x:c>
      <x:c r="AA32" s="23" t="str">
        <x:v>City research rank 7.</x:v>
      </x:c>
    </x:row>
    <x:row r="33" ht="40.5" customHeight="1">
      <x:c r="A33" s="23" t="str">
        <x:v>AUS-08</x:v>
      </x:c>
      <x:c r="B33" s="23" t="str">
        <x:v>Independent Austin Instructor</x:v>
      </x:c>
      <x:c r="C33" s="23" t="str">
        <x:v>Tanya Rippenkroeger</x:v>
      </x:c>
      <x:c r="D33" s="23" t="str">
        <x:v>Austin</x:v>
      </x:c>
      <x:c r="E33" s="23" t="str">
        <x:v>TX</x:v>
      </x:c>
      <x:c r="F33" s="23" t="str">
        <x:v>Independent instructor</x:v>
      </x:c>
      <x:c r="G33" s="23" t="str">
        <x:v>Line dance instruction and events</x:v>
      </x:c>
      <x:c r="H33" s="23" t="str">
        <x:v>P3</x:v>
      </x:c>
      <x:c r="I33" s="23" t="str">
        <x:v>Researched</x:v>
      </x:c>
      <x:c r="J33" s="23" t="str">
        <x:v>Email</x:v>
      </x:c>
      <x:c r="K33" s="23" t="str">
        <x:v>rntripp@msn.com</x:v>
      </x:c>
      <x:c r="L33" s="23" t="str">
        <x:v>Public business email</x:v>
      </x:c>
      <x:c r="M33" s="25" t="str"/>
      <x:c r="N33" s="25" t="str"/>
      <x:c r="O33" s="25" t="str">
        <x:v>https://texaslinedancejamboree.com/instructors-list/</x:v>
      </x:c>
      <x:c r="P33" s="25" t="str">
        <x:v>https://texaslinedancejamboree.com/instructors-list/</x:v>
      </x:c>
      <x:c r="Q33" s="23" t="str">
        <x:v>Austin instructor with current Texas Line Dance Jamboree visibility.</x:v>
      </x:c>
      <x:c r="R33" s="23" t="str">
        <x:v>Verified association list</x:v>
      </x:c>
      <x:c r="S33" s="24" t="n">
        <x:v>46239.666666666664</x:v>
      </x:c>
      <x:c r="T33" s="24"/>
      <x:c r="U33" s="24"/>
      <x:c r="V33" s="24"/>
      <x:c r="W33" s="23" t="str">
        <x:v>Personalize first outreach</x:v>
      </x:c>
      <x:c r="X33" s="23" t="str"/>
      <x:c r="Y33" s="23" t="str">
        <x:v>Unknown</x:v>
      </x:c>
      <x:c r="Z33" s="23" t="str">
        <x:v>No</x:v>
      </x:c>
      <x:c r="AA33" s="23" t="str">
        <x:v>City research rank 8.</x:v>
      </x:c>
    </x:row>
    <x:row r="34" ht="40.5" customHeight="1">
      <x:c r="A34" s="23" t="str">
        <x:v>AUS-09</x:v>
      </x:c>
      <x:c r="B34" s="23" t="str">
        <x:v>Independent Austin Instructor</x:v>
      </x:c>
      <x:c r="C34" s="23" t="str">
        <x:v>Kathy Sun</x:v>
      </x:c>
      <x:c r="D34" s="23" t="str">
        <x:v>Austin</x:v>
      </x:c>
      <x:c r="E34" s="23" t="str">
        <x:v>TX</x:v>
      </x:c>
      <x:c r="F34" s="23" t="str">
        <x:v>Independent instructor</x:v>
      </x:c>
      <x:c r="G34" s="23" t="str">
        <x:v>Line dance instruction and events</x:v>
      </x:c>
      <x:c r="H34" s="23" t="str">
        <x:v>P3</x:v>
      </x:c>
      <x:c r="I34" s="23" t="str">
        <x:v>Researched</x:v>
      </x:c>
      <x:c r="J34" s="23" t="str">
        <x:v>Email</x:v>
      </x:c>
      <x:c r="K34" s="23" t="str">
        <x:v>kathy.sun.mao@gmail.com</x:v>
      </x:c>
      <x:c r="L34" s="23" t="str">
        <x:v>Public business email</x:v>
      </x:c>
      <x:c r="M34" s="25" t="str"/>
      <x:c r="N34" s="25" t="str"/>
      <x:c r="O34" s="25" t="str">
        <x:v>https://texaslinedancejamboree.com/instructors-list/</x:v>
      </x:c>
      <x:c r="P34" s="25" t="str">
        <x:v>https://texaslinedancejamboree.com/instructors-list/</x:v>
      </x:c>
      <x:c r="Q34" s="23" t="str">
        <x:v>Austin instructor with current Texas Line Dance Jamboree visibility.</x:v>
      </x:c>
      <x:c r="R34" s="23" t="str">
        <x:v>Verified association list</x:v>
      </x:c>
      <x:c r="S34" s="24" t="n">
        <x:v>46239.666666666664</x:v>
      </x:c>
      <x:c r="T34" s="24"/>
      <x:c r="U34" s="24"/>
      <x:c r="V34" s="24"/>
      <x:c r="W34" s="23" t="str">
        <x:v>Personalize first outreach</x:v>
      </x:c>
      <x:c r="X34" s="23" t="str"/>
      <x:c r="Y34" s="23" t="str">
        <x:v>Unknown</x:v>
      </x:c>
      <x:c r="Z34" s="23" t="str">
        <x:v>No</x:v>
      </x:c>
      <x:c r="AA34" s="23" t="str">
        <x:v>City research rank 9.</x:v>
      </x:c>
    </x:row>
    <x:row r="35" ht="40.5" customHeight="1">
      <x:c r="A35" s="23" t="str">
        <x:v>AUS-10</x:v>
      </x:c>
      <x:c r="B35" s="23" t="str">
        <x:v>Independent Austin Instructor</x:v>
      </x:c>
      <x:c r="C35" s="23" t="str">
        <x:v>Karen Steger</x:v>
      </x:c>
      <x:c r="D35" s="23" t="str">
        <x:v>Austin</x:v>
      </x:c>
      <x:c r="E35" s="23" t="str">
        <x:v>TX</x:v>
      </x:c>
      <x:c r="F35" s="23" t="str">
        <x:v>Independent instructor</x:v>
      </x:c>
      <x:c r="G35" s="23" t="str">
        <x:v>Line dance instruction and events</x:v>
      </x:c>
      <x:c r="H35" s="23" t="str">
        <x:v>P3</x:v>
      </x:c>
      <x:c r="I35" s="23" t="str">
        <x:v>Researched</x:v>
      </x:c>
      <x:c r="J35" s="23" t="str">
        <x:v>Email</x:v>
      </x:c>
      <x:c r="K35" s="23" t="str">
        <x:v>karensteger@sbcglobal.net</x:v>
      </x:c>
      <x:c r="L35" s="23" t="str">
        <x:v>Public business email</x:v>
      </x:c>
      <x:c r="M35" s="25" t="str"/>
      <x:c r="N35" s="25" t="str"/>
      <x:c r="O35" s="25" t="str">
        <x:v>https://texaslinedancejamboree.com/instructors-list/</x:v>
      </x:c>
      <x:c r="P35" s="25" t="str">
        <x:v>https://texaslinedancejamboree.com/instructors-list/</x:v>
      </x:c>
      <x:c r="Q35" s="23" t="str">
        <x:v>Austin instructor with current Texas Line Dance Jamboree visibility.</x:v>
      </x:c>
      <x:c r="R35" s="23" t="str">
        <x:v>Verified association list</x:v>
      </x:c>
      <x:c r="S35" s="24" t="n">
        <x:v>46239.666666666664</x:v>
      </x:c>
      <x:c r="T35" s="24"/>
      <x:c r="U35" s="24"/>
      <x:c r="V35" s="24"/>
      <x:c r="W35" s="23" t="str">
        <x:v>Personalize first outreach</x:v>
      </x:c>
      <x:c r="X35" s="23" t="str"/>
      <x:c r="Y35" s="23" t="str">
        <x:v>Unknown</x:v>
      </x:c>
      <x:c r="Z35" s="23" t="str">
        <x:v>No</x:v>
      </x:c>
      <x:c r="AA35" s="23" t="str">
        <x:v>City research rank 10.</x:v>
      </x:c>
    </x:row>
    <x:row r="36" ht="40.5" customHeight="1">
      <x:c r="A36" s="23" t="str">
        <x:v>DAL-01</x:v>
      </x:c>
      <x:c r="B36" s="23" t="str">
        <x:v>410 Line Dancers</x:v>
      </x:c>
      <x:c r="C36" s="23" t="str">
        <x:v>Isha Hutchinson</x:v>
      </x:c>
      <x:c r="D36" s="23" t="str">
        <x:v>Dallas</x:v>
      </x:c>
      <x:c r="E36" s="23" t="str">
        <x:v>TX</x:v>
      </x:c>
      <x:c r="F36" s="23" t="str">
        <x:v>Instructor team</x:v>
      </x:c>
      <x:c r="G36" s="23" t="str">
        <x:v>Corporate events, private events, classes</x:v>
      </x:c>
      <x:c r="H36" s="23" t="str">
        <x:v>P1</x:v>
      </x:c>
      <x:c r="I36" s="23" t="str">
        <x:v>Researched</x:v>
      </x:c>
      <x:c r="J36" s="23" t="str">
        <x:v>Email</x:v>
      </x:c>
      <x:c r="K36" s="23" t="str">
        <x:v>410linedancers@gmail.com</x:v>
      </x:c>
      <x:c r="L36" s="23" t="str">
        <x:v>Shared business email</x:v>
      </x:c>
      <x:c r="M36" s="25" t="str">
        <x:v>https://www.instagram.com/410linedancers/</x:v>
      </x:c>
      <x:c r="N36" s="25" t="str">
        <x:v>https://www.tiktok.com/@410linedancers</x:v>
      </x:c>
      <x:c r="O36" s="25" t="str">
        <x:v>https://www.410linedancers.com/</x:v>
      </x:c>
      <x:c r="P36" s="25" t="str">
        <x:v>https://www.410linedancers.com/</x:v>
      </x:c>
      <x:c r="Q36" s="23" t="str">
        <x:v>Co-leads a visible DFW line dance team with public event services and active social channels.</x:v>
      </x:c>
      <x:c r="R36" s="23" t="str">
        <x:v>Verified official site</x:v>
      </x:c>
      <x:c r="S36" s="24" t="n">
        <x:v>46239.666666666664</x:v>
      </x:c>
      <x:c r="T36" s="24"/>
      <x:c r="U36" s="24"/>
      <x:c r="V36" s="24"/>
      <x:c r="W36" s="23" t="str">
        <x:v>Personalize first outreach</x:v>
      </x:c>
      <x:c r="X36" s="23" t="str"/>
      <x:c r="Y36" s="23" t="str">
        <x:v>Unknown</x:v>
      </x:c>
      <x:c r="Z36" s="23" t="str">
        <x:v>No</x:v>
      </x:c>
      <x:c r="AA36" s="23" t="str">
        <x:v>City research rank 1.</x:v>
      </x:c>
    </x:row>
    <x:row r="37" ht="40.5" customHeight="1">
      <x:c r="A37" s="23" t="str">
        <x:v>DAL-02</x:v>
      </x:c>
      <x:c r="B37" s="23" t="str">
        <x:v>410 Line Dancers</x:v>
      </x:c>
      <x:c r="C37" s="23" t="str">
        <x:v>Marlo Hutchinson</x:v>
      </x:c>
      <x:c r="D37" s="23" t="str">
        <x:v>Dallas</x:v>
      </x:c>
      <x:c r="E37" s="23" t="str">
        <x:v>TX</x:v>
      </x:c>
      <x:c r="F37" s="23" t="str">
        <x:v>Instructor team</x:v>
      </x:c>
      <x:c r="G37" s="23" t="str">
        <x:v>Corporate events, private events, classes</x:v>
      </x:c>
      <x:c r="H37" s="23" t="str">
        <x:v>P1</x:v>
      </x:c>
      <x:c r="I37" s="23" t="str">
        <x:v>Researched</x:v>
      </x:c>
      <x:c r="J37" s="23" t="str">
        <x:v>Email</x:v>
      </x:c>
      <x:c r="K37" s="23" t="str">
        <x:v>410linedancers@gmail.com</x:v>
      </x:c>
      <x:c r="L37" s="23" t="str">
        <x:v>Shared business email</x:v>
      </x:c>
      <x:c r="M37" s="25" t="str">
        <x:v>https://www.instagram.com/410linedancers/</x:v>
      </x:c>
      <x:c r="N37" s="25" t="str">
        <x:v>https://www.tiktok.com/@410linedancers</x:v>
      </x:c>
      <x:c r="O37" s="25" t="str">
        <x:v>https://www.410linedancers.com/</x:v>
      </x:c>
      <x:c r="P37" s="25" t="str">
        <x:v>https://www.410linedancers.com/</x:v>
      </x:c>
      <x:c r="Q37" s="23" t="str">
        <x:v>Co-leads a visible DFW line dance team with public event services and active social channels.</x:v>
      </x:c>
      <x:c r="R37" s="23" t="str">
        <x:v>Verified official site</x:v>
      </x:c>
      <x:c r="S37" s="24" t="n">
        <x:v>46239.666666666664</x:v>
      </x:c>
      <x:c r="T37" s="24"/>
      <x:c r="U37" s="24"/>
      <x:c r="V37" s="24"/>
      <x:c r="W37" s="23" t="str">
        <x:v>Personalize first outreach</x:v>
      </x:c>
      <x:c r="X37" s="23" t="str"/>
      <x:c r="Y37" s="23" t="str">
        <x:v>Unknown</x:v>
      </x:c>
      <x:c r="Z37" s="23" t="str">
        <x:v>No</x:v>
      </x:c>
      <x:c r="AA37" s="23" t="str">
        <x:v>City research rank 2.</x:v>
      </x:c>
    </x:row>
    <x:row r="38" ht="40.5" customHeight="1">
      <x:c r="A38" s="23" t="str">
        <x:v>DAL-03</x:v>
      </x:c>
      <x:c r="B38" s="23" t="str">
        <x:v>Independent Dallas Instructor</x:v>
      </x:c>
      <x:c r="C38" s="23" t="str">
        <x:v>Karen Aubrey</x:v>
      </x:c>
      <x:c r="D38" s="23" t="str">
        <x:v>Dallas</x:v>
      </x:c>
      <x:c r="E38" s="23" t="str">
        <x:v>TX</x:v>
      </x:c>
      <x:c r="F38" s="23" t="str">
        <x:v>Independent instructor</x:v>
      </x:c>
      <x:c r="G38" s="23" t="str">
        <x:v>Line dance instruction and events</x:v>
      </x:c>
      <x:c r="H38" s="23" t="str">
        <x:v>P1</x:v>
      </x:c>
      <x:c r="I38" s="23" t="str">
        <x:v>Researched</x:v>
      </x:c>
      <x:c r="J38" s="23" t="str">
        <x:v>Email</x:v>
      </x:c>
      <x:c r="K38" s="23" t="str">
        <x:v>kaubrey@aol.com</x:v>
      </x:c>
      <x:c r="L38" s="23" t="str">
        <x:v>Public business email</x:v>
      </x:c>
      <x:c r="M38" s="25" t="str"/>
      <x:c r="N38" s="25" t="str"/>
      <x:c r="O38" s="25" t="str">
        <x:v>https://texaslinedancejamboree.com/instructors-list/</x:v>
      </x:c>
      <x:c r="P38" s="25" t="str">
        <x:v>https://texaslinedancejamboree.com/instructors-list/</x:v>
      </x:c>
      <x:c r="Q38" s="23" t="str">
        <x:v>Dallas-area instructor on the current Texas Line Dance Jamboree roster.</x:v>
      </x:c>
      <x:c r="R38" s="23" t="str">
        <x:v>Verified association list</x:v>
      </x:c>
      <x:c r="S38" s="24" t="n">
        <x:v>46239.666666666664</x:v>
      </x:c>
      <x:c r="T38" s="24"/>
      <x:c r="U38" s="24"/>
      <x:c r="V38" s="24"/>
      <x:c r="W38" s="23" t="str">
        <x:v>Personalize first outreach</x:v>
      </x:c>
      <x:c r="X38" s="23" t="str"/>
      <x:c r="Y38" s="23" t="str">
        <x:v>Unknown</x:v>
      </x:c>
      <x:c r="Z38" s="23" t="str">
        <x:v>No</x:v>
      </x:c>
      <x:c r="AA38" s="23" t="str">
        <x:v>City research rank 3.</x:v>
      </x:c>
    </x:row>
    <x:row r="39" ht="40.5" customHeight="1">
      <x:c r="A39" s="23" t="str">
        <x:v>DAL-04</x:v>
      </x:c>
      <x:c r="B39" s="23" t="str">
        <x:v>Independent Dallas Instructor</x:v>
      </x:c>
      <x:c r="C39" s="23" t="str">
        <x:v>Kay Coder</x:v>
      </x:c>
      <x:c r="D39" s="23" t="str">
        <x:v>Dallas</x:v>
      </x:c>
      <x:c r="E39" s="23" t="str">
        <x:v>TX</x:v>
      </x:c>
      <x:c r="F39" s="23" t="str">
        <x:v>Independent instructor</x:v>
      </x:c>
      <x:c r="G39" s="23" t="str">
        <x:v>Line dance instruction and events</x:v>
      </x:c>
      <x:c r="H39" s="23" t="str">
        <x:v>P2</x:v>
      </x:c>
      <x:c r="I39" s="23" t="str">
        <x:v>Researched</x:v>
      </x:c>
      <x:c r="J39" s="23" t="str">
        <x:v>Email</x:v>
      </x:c>
      <x:c r="K39" s="23" t="str">
        <x:v>kcoder@sbcglobal.net</x:v>
      </x:c>
      <x:c r="L39" s="23" t="str">
        <x:v>Public business email</x:v>
      </x:c>
      <x:c r="M39" s="25" t="str"/>
      <x:c r="N39" s="25" t="str"/>
      <x:c r="O39" s="25" t="str">
        <x:v>https://texaslinedancejamboree.com/instructors-list/</x:v>
      </x:c>
      <x:c r="P39" s="25" t="str">
        <x:v>https://texaslinedancejamboree.com/instructors-list/</x:v>
      </x:c>
      <x:c r="Q39" s="23" t="str">
        <x:v>Dallas-area instructor on the current Texas Line Dance Jamboree roster.</x:v>
      </x:c>
      <x:c r="R39" s="23" t="str">
        <x:v>Verified association list</x:v>
      </x:c>
      <x:c r="S39" s="24" t="n">
        <x:v>46239.666666666664</x:v>
      </x:c>
      <x:c r="T39" s="24"/>
      <x:c r="U39" s="24"/>
      <x:c r="V39" s="24"/>
      <x:c r="W39" s="23" t="str">
        <x:v>Personalize first outreach</x:v>
      </x:c>
      <x:c r="X39" s="23" t="str"/>
      <x:c r="Y39" s="23" t="str">
        <x:v>Unknown</x:v>
      </x:c>
      <x:c r="Z39" s="23" t="str">
        <x:v>No</x:v>
      </x:c>
      <x:c r="AA39" s="23" t="str">
        <x:v>City research rank 4.</x:v>
      </x:c>
    </x:row>
    <x:row r="40" ht="40.5" customHeight="1">
      <x:c r="A40" s="23" t="str">
        <x:v>DAL-05</x:v>
      </x:c>
      <x:c r="B40" s="23" t="str">
        <x:v>Independent Dallas Instructor</x:v>
      </x:c>
      <x:c r="C40" s="23" t="str">
        <x:v>Gail Donaldson</x:v>
      </x:c>
      <x:c r="D40" s="23" t="str">
        <x:v>Dallas</x:v>
      </x:c>
      <x:c r="E40" s="23" t="str">
        <x:v>TX</x:v>
      </x:c>
      <x:c r="F40" s="23" t="str">
        <x:v>Independent instructor</x:v>
      </x:c>
      <x:c r="G40" s="23" t="str">
        <x:v>Line dance instruction and events</x:v>
      </x:c>
      <x:c r="H40" s="23" t="str">
        <x:v>P2</x:v>
      </x:c>
      <x:c r="I40" s="23" t="str">
        <x:v>Researched</x:v>
      </x:c>
      <x:c r="J40" s="23" t="str">
        <x:v>Email</x:v>
      </x:c>
      <x:c r="K40" s="23" t="str">
        <x:v>gail.donald@yahoo.com</x:v>
      </x:c>
      <x:c r="L40" s="23" t="str">
        <x:v>Public business email</x:v>
      </x:c>
      <x:c r="M40" s="25" t="str"/>
      <x:c r="N40" s="25" t="str"/>
      <x:c r="O40" s="25" t="str">
        <x:v>https://texaslinedancejamboree.com/instructors-list/</x:v>
      </x:c>
      <x:c r="P40" s="25" t="str">
        <x:v>https://texaslinedancejamboree.com/instructors-list/</x:v>
      </x:c>
      <x:c r="Q40" s="23" t="str">
        <x:v>Dallas-area instructor on the current Texas Line Dance Jamboree roster.</x:v>
      </x:c>
      <x:c r="R40" s="23" t="str">
        <x:v>Verified association list</x:v>
      </x:c>
      <x:c r="S40" s="24" t="n">
        <x:v>46239.666666666664</x:v>
      </x:c>
      <x:c r="T40" s="24"/>
      <x:c r="U40" s="24"/>
      <x:c r="V40" s="24"/>
      <x:c r="W40" s="23" t="str">
        <x:v>Personalize first outreach</x:v>
      </x:c>
      <x:c r="X40" s="23" t="str"/>
      <x:c r="Y40" s="23" t="str">
        <x:v>Unknown</x:v>
      </x:c>
      <x:c r="Z40" s="23" t="str">
        <x:v>No</x:v>
      </x:c>
      <x:c r="AA40" s="23" t="str">
        <x:v>City research rank 5.</x:v>
      </x:c>
    </x:row>
    <x:row r="41" ht="40.5" customHeight="1">
      <x:c r="A41" s="23" t="str">
        <x:v>DAL-06</x:v>
      </x:c>
      <x:c r="B41" s="23" t="str">
        <x:v>Independent Dallas Instructor</x:v>
      </x:c>
      <x:c r="C41" s="23" t="str">
        <x:v>Ann Ellis</x:v>
      </x:c>
      <x:c r="D41" s="23" t="str">
        <x:v>Dallas</x:v>
      </x:c>
      <x:c r="E41" s="23" t="str">
        <x:v>TX</x:v>
      </x:c>
      <x:c r="F41" s="23" t="str">
        <x:v>Independent instructor</x:v>
      </x:c>
      <x:c r="G41" s="23" t="str">
        <x:v>Line dance instruction and events</x:v>
      </x:c>
      <x:c r="H41" s="23" t="str">
        <x:v>P2</x:v>
      </x:c>
      <x:c r="I41" s="23" t="str">
        <x:v>Researched</x:v>
      </x:c>
      <x:c r="J41" s="23" t="str">
        <x:v>Email</x:v>
      </x:c>
      <x:c r="K41" s="23" t="str">
        <x:v>ellisintx@gmail.com</x:v>
      </x:c>
      <x:c r="L41" s="23" t="str">
        <x:v>Public business email</x:v>
      </x:c>
      <x:c r="M41" s="25" t="str"/>
      <x:c r="N41" s="25" t="str"/>
      <x:c r="O41" s="25" t="str">
        <x:v>https://texaslinedancejamboree.com/instructors-list/</x:v>
      </x:c>
      <x:c r="P41" s="25" t="str">
        <x:v>https://texaslinedancejamboree.com/instructors-list/</x:v>
      </x:c>
      <x:c r="Q41" s="23" t="str">
        <x:v>Dallas-area instructor on the current Texas Line Dance Jamboree roster.</x:v>
      </x:c>
      <x:c r="R41" s="23" t="str">
        <x:v>Verified association list</x:v>
      </x:c>
      <x:c r="S41" s="24" t="n">
        <x:v>46239.666666666664</x:v>
      </x:c>
      <x:c r="T41" s="24"/>
      <x:c r="U41" s="24"/>
      <x:c r="V41" s="24"/>
      <x:c r="W41" s="23" t="str">
        <x:v>Personalize first outreach</x:v>
      </x:c>
      <x:c r="X41" s="23" t="str"/>
      <x:c r="Y41" s="23" t="str">
        <x:v>Unknown</x:v>
      </x:c>
      <x:c r="Z41" s="23" t="str">
        <x:v>No</x:v>
      </x:c>
      <x:c r="AA41" s="23" t="str">
        <x:v>City research rank 6.</x:v>
      </x:c>
    </x:row>
    <x:row r="42" ht="40.5" customHeight="1">
      <x:c r="A42" s="23" t="str">
        <x:v>DAL-07</x:v>
      </x:c>
      <x:c r="B42" s="23" t="str">
        <x:v>Juliet Dance N Teach</x:v>
      </x:c>
      <x:c r="C42" s="23" t="str">
        <x:v>Juliet Lam</x:v>
      </x:c>
      <x:c r="D42" s="23" t="str">
        <x:v>Dallas</x:v>
      </x:c>
      <x:c r="E42" s="23" t="str">
        <x:v>TX</x:v>
      </x:c>
      <x:c r="F42" s="23" t="str">
        <x:v>Independent instructor</x:v>
      </x:c>
      <x:c r="G42" s="23" t="str">
        <x:v>Line dance instruction, tutorials, workshops</x:v>
      </x:c>
      <x:c r="H42" s="23" t="str">
        <x:v>P2</x:v>
      </x:c>
      <x:c r="I42" s="23" t="str">
        <x:v>Researched</x:v>
      </x:c>
      <x:c r="J42" s="23" t="str">
        <x:v>Email</x:v>
      </x:c>
      <x:c r="K42" s="23" t="str">
        <x:v>lingling777@gmail.com</x:v>
      </x:c>
      <x:c r="L42" s="23" t="str">
        <x:v>Public business email</x:v>
      </x:c>
      <x:c r="M42" s="25" t="str"/>
      <x:c r="N42" s="25" t="str"/>
      <x:c r="O42" s="25" t="str">
        <x:v>https://www.youtube.com/julietdanceNteach</x:v>
      </x:c>
      <x:c r="P42" s="25" t="str">
        <x:v>https://texaslinedancejamboree.com/instructors-list/</x:v>
      </x:c>
      <x:c r="Q42" s="23" t="str">
        <x:v>Dallas instructor with association visibility and a public tutorial channel.</x:v>
      </x:c>
      <x:c r="R42" s="23" t="str">
        <x:v>Verified association list</x:v>
      </x:c>
      <x:c r="S42" s="24" t="n">
        <x:v>46239.666666666664</x:v>
      </x:c>
      <x:c r="T42" s="24"/>
      <x:c r="U42" s="24"/>
      <x:c r="V42" s="24"/>
      <x:c r="W42" s="23" t="str">
        <x:v>Personalize first outreach</x:v>
      </x:c>
      <x:c r="X42" s="23" t="str"/>
      <x:c r="Y42" s="23" t="str">
        <x:v>Unknown</x:v>
      </x:c>
      <x:c r="Z42" s="23" t="str">
        <x:v>No</x:v>
      </x:c>
      <x:c r="AA42" s="23" t="str">
        <x:v>City research rank 7.</x:v>
      </x:c>
    </x:row>
    <x:row r="43" ht="40.5" customHeight="1">
      <x:c r="A43" s="23" t="str">
        <x:v>DAL-08</x:v>
      </x:c>
      <x:c r="B43" s="23" t="str">
        <x:v>Independent Dallas Instructor</x:v>
      </x:c>
      <x:c r="C43" s="23" t="str">
        <x:v>Ann Pettit</x:v>
      </x:c>
      <x:c r="D43" s="23" t="str">
        <x:v>Dallas</x:v>
      </x:c>
      <x:c r="E43" s="23" t="str">
        <x:v>TX</x:v>
      </x:c>
      <x:c r="F43" s="23" t="str">
        <x:v>Independent instructor</x:v>
      </x:c>
      <x:c r="G43" s="23" t="str">
        <x:v>Line dance instruction and events</x:v>
      </x:c>
      <x:c r="H43" s="23" t="str">
        <x:v>P3</x:v>
      </x:c>
      <x:c r="I43" s="23" t="str">
        <x:v>Researched</x:v>
      </x:c>
      <x:c r="J43" s="23" t="str">
        <x:v>Email</x:v>
      </x:c>
      <x:c r="K43" s="23" t="str">
        <x:v>oapdq@hotmail.com</x:v>
      </x:c>
      <x:c r="L43" s="23" t="str">
        <x:v>Public business email</x:v>
      </x:c>
      <x:c r="M43" s="25" t="str"/>
      <x:c r="N43" s="25" t="str"/>
      <x:c r="O43" s="25" t="str">
        <x:v>https://texaslinedancejamboree.com/instructors-list/</x:v>
      </x:c>
      <x:c r="P43" s="25" t="str">
        <x:v>https://texaslinedancejamboree.com/instructors-list/</x:v>
      </x:c>
      <x:c r="Q43" s="23" t="str">
        <x:v>Dallas-area instructor on the current Texas Line Dance Jamboree roster.</x:v>
      </x:c>
      <x:c r="R43" s="23" t="str">
        <x:v>Verified association list</x:v>
      </x:c>
      <x:c r="S43" s="24" t="n">
        <x:v>46239.666666666664</x:v>
      </x:c>
      <x:c r="T43" s="24"/>
      <x:c r="U43" s="24"/>
      <x:c r="V43" s="24"/>
      <x:c r="W43" s="23" t="str">
        <x:v>Personalize first outreach</x:v>
      </x:c>
      <x:c r="X43" s="23" t="str"/>
      <x:c r="Y43" s="23" t="str">
        <x:v>Unknown</x:v>
      </x:c>
      <x:c r="Z43" s="23" t="str">
        <x:v>No</x:v>
      </x:c>
      <x:c r="AA43" s="23" t="str">
        <x:v>City research rank 8.</x:v>
      </x:c>
    </x:row>
    <x:row r="44" ht="40.5" customHeight="1">
      <x:c r="A44" s="23" t="str">
        <x:v>DAL-09</x:v>
      </x:c>
      <x:c r="B44" s="23" t="str">
        <x:v>Rockin' Red Rodeo</x:v>
      </x:c>
      <x:c r="C44" s="23" t="str">
        <x:v>Nikki Simpson</x:v>
      </x:c>
      <x:c r="D44" s="23" t="str">
        <x:v>Dallas</x:v>
      </x:c>
      <x:c r="E44" s="23" t="str">
        <x:v>TX</x:v>
      </x:c>
      <x:c r="F44" s="23" t="str">
        <x:v>Independent instructor</x:v>
      </x:c>
      <x:c r="G44" s="23" t="str">
        <x:v>Line dance instruction, event workshops</x:v>
      </x:c>
      <x:c r="H44" s="23" t="str">
        <x:v>P3</x:v>
      </x:c>
      <x:c r="I44" s="23" t="str">
        <x:v>Researched</x:v>
      </x:c>
      <x:c r="J44" s="23" t="str">
        <x:v>Email</x:v>
      </x:c>
      <x:c r="K44" s="23" t="str">
        <x:v>rockinredrodeo@gmail.com</x:v>
      </x:c>
      <x:c r="L44" s="23" t="str">
        <x:v>Public business email</x:v>
      </x:c>
      <x:c r="M44" s="25" t="str"/>
      <x:c r="N44" s="25" t="str"/>
      <x:c r="O44" s="25" t="str">
        <x:v>https://www.hotheartoftexas.com/</x:v>
      </x:c>
      <x:c r="P44" s="25" t="str">
        <x:v>https://texaslinedancejamboree.com/instructors-list/</x:v>
      </x:c>
      <x:c r="Q44" s="23" t="str">
        <x:v>Dallas instructor with a recognizable event brand and current regional roster visibility.</x:v>
      </x:c>
      <x:c r="R44" s="23" t="str">
        <x:v>Verified association list</x:v>
      </x:c>
      <x:c r="S44" s="24" t="n">
        <x:v>46239.666666666664</x:v>
      </x:c>
      <x:c r="T44" s="24"/>
      <x:c r="U44" s="24"/>
      <x:c r="V44" s="24"/>
      <x:c r="W44" s="23" t="str">
        <x:v>Personalize first outreach</x:v>
      </x:c>
      <x:c r="X44" s="23" t="str"/>
      <x:c r="Y44" s="23" t="str">
        <x:v>Unknown</x:v>
      </x:c>
      <x:c r="Z44" s="23" t="str">
        <x:v>No</x:v>
      </x:c>
      <x:c r="AA44" s="23" t="str">
        <x:v>City research rank 9.</x:v>
      </x:c>
    </x:row>
    <x:row r="45" ht="40.5" customHeight="1">
      <x:c r="A45" s="23" t="str">
        <x:v>DAL-10</x:v>
      </x:c>
      <x:c r="B45" s="23" t="str">
        <x:v>Independent Dallas Instructor</x:v>
      </x:c>
      <x:c r="C45" s="23" t="str">
        <x:v>Vi Smith</x:v>
      </x:c>
      <x:c r="D45" s="23" t="str">
        <x:v>Dallas</x:v>
      </x:c>
      <x:c r="E45" s="23" t="str">
        <x:v>TX</x:v>
      </x:c>
      <x:c r="F45" s="23" t="str">
        <x:v>Independent instructor</x:v>
      </x:c>
      <x:c r="G45" s="23" t="str">
        <x:v>Line dance instruction and events</x:v>
      </x:c>
      <x:c r="H45" s="23" t="str">
        <x:v>P3</x:v>
      </x:c>
      <x:c r="I45" s="23" t="str">
        <x:v>Researched</x:v>
      </x:c>
      <x:c r="J45" s="23" t="str">
        <x:v>Email</x:v>
      </x:c>
      <x:c r="K45" s="23" t="str">
        <x:v>msundecided@hotmail.com</x:v>
      </x:c>
      <x:c r="L45" s="23" t="str">
        <x:v>Public business email</x:v>
      </x:c>
      <x:c r="M45" s="25" t="str"/>
      <x:c r="N45" s="25" t="str"/>
      <x:c r="O45" s="25" t="str">
        <x:v>https://texaslinedancejamboree.com/instructors-list/</x:v>
      </x:c>
      <x:c r="P45" s="25" t="str">
        <x:v>https://texaslinedancejamboree.com/instructors-list/</x:v>
      </x:c>
      <x:c r="Q45" s="23" t="str">
        <x:v>Dallas-area instructor on the current Texas Line Dance Jamboree roster.</x:v>
      </x:c>
      <x:c r="R45" s="23" t="str">
        <x:v>Verified association list</x:v>
      </x:c>
      <x:c r="S45" s="24" t="n">
        <x:v>46239.666666666664</x:v>
      </x:c>
      <x:c r="T45" s="24"/>
      <x:c r="U45" s="24"/>
      <x:c r="V45" s="24"/>
      <x:c r="W45" s="23" t="str">
        <x:v>Personalize first outreach</x:v>
      </x:c>
      <x:c r="X45" s="23" t="str"/>
      <x:c r="Y45" s="23" t="str">
        <x:v>Unknown</x:v>
      </x:c>
      <x:c r="Z45" s="23" t="str">
        <x:v>No</x:v>
      </x:c>
      <x:c r="AA45" s="23" t="str">
        <x:v>City research rank 10.</x:v>
      </x:c>
    </x:row>
    <x:row r="46" ht="40.5" customHeight="1">
      <x:c r="A46" s="23" t="str">
        <x:v>HOU-01</x:v>
      </x:c>
      <x:c r="B46" s="23" t="str">
        <x:v>Houston Line Dancing community</x:v>
      </x:c>
      <x:c r="C46" s="23" t="str">
        <x:v>Clevetta R. Young</x:v>
      </x:c>
      <x:c r="D46" s="23" t="str">
        <x:v>Houston</x:v>
      </x:c>
      <x:c r="E46" s="23" t="str">
        <x:v>TX</x:v>
      </x:c>
      <x:c r="F46" s="23" t="str">
        <x:v>Independent instructor</x:v>
      </x:c>
      <x:c r="G46" s="23" t="str">
        <x:v>Soul line dance instruction and large community events</x:v>
      </x:c>
      <x:c r="H46" s="23" t="str">
        <x:v>P1</x:v>
      </x:c>
      <x:c r="I46" s="23" t="str">
        <x:v>Researched</x:v>
      </x:c>
      <x:c r="J46" s="23" t="str">
        <x:v>Referral</x:v>
      </x:c>
      <x:c r="K46" s="23" t="str"/>
      <x:c r="L46" s="23" t="str">
        <x:v>Not found</x:v>
      </x:c>
      <x:c r="M46" s="25" t="str"/>
      <x:c r="N46" s="25" t="str"/>
      <x:c r="O46" s="25" t="str">
        <x:v>https://defendernetwork.com/news/local-state/houston-line-dancers-step-in-the-name-of-love/</x:v>
      </x:c>
      <x:c r="P46" s="25" t="str">
        <x:v>https://defendernetwork.com/news/local-state/houston-line-dancers-step-in-the-name-of-love/</x:v>
      </x:c>
      <x:c r="Q46" s="23" t="str">
        <x:v>Widely profiled Houston soul line dance leader connected to a community reported at 15,000 members and major rodeo events.</x:v>
      </x:c>
      <x:c r="R46" s="23" t="str">
        <x:v>Editorial profile</x:v>
      </x:c>
      <x:c r="S46" s="24" t="n">
        <x:v>46239.666666666664</x:v>
      </x:c>
      <x:c r="T46" s="24"/>
      <x:c r="U46" s="24"/>
      <x:c r="V46" s="24"/>
      <x:c r="W46" s="23" t="str">
        <x:v>Request public booking route through featured community page</x:v>
      </x:c>
      <x:c r="X46" s="23" t="str"/>
      <x:c r="Y46" s="23" t="str">
        <x:v>Unknown</x:v>
      </x:c>
      <x:c r="Z46" s="23" t="str">
        <x:v>No</x:v>
      </x:c>
      <x:c r="AA46" s="23" t="str">
        <x:v>City research rank 1.</x:v>
      </x:c>
    </x:row>
    <x:row r="47" ht="40.5" customHeight="1">
      <x:c r="A47" s="23" t="str">
        <x:v>HOU-02</x:v>
      </x:c>
      <x:c r="B47" s="23" t="str">
        <x:v>Jakayla Preston Line Dance</x:v>
      </x:c>
      <x:c r="C47" s="23" t="str">
        <x:v>Jakayla Preston</x:v>
      </x:c>
      <x:c r="D47" s="23" t="str">
        <x:v>Houston</x:v>
      </x:c>
      <x:c r="E47" s="23" t="str">
        <x:v>TX</x:v>
      </x:c>
      <x:c r="F47" s="23" t="str">
        <x:v>Independent instructor</x:v>
      </x:c>
      <x:c r="G47" s="23" t="str">
        <x:v>Viral line dance instruction, workshops, creator content</x:v>
      </x:c>
      <x:c r="H47" s="23" t="str">
        <x:v>P1</x:v>
      </x:c>
      <x:c r="I47" s="23" t="str">
        <x:v>Researched</x:v>
      </x:c>
      <x:c r="J47" s="23" t="str">
        <x:v>TikTok</x:v>
      </x:c>
      <x:c r="K47" s="23" t="str"/>
      <x:c r="L47" s="23" t="str">
        <x:v>Not found</x:v>
      </x:c>
      <x:c r="M47" s="25" t="str"/>
      <x:c r="N47" s="25" t="str">
        <x:v>https://www.tiktok.com/@_itsjakaylaa</x:v>
      </x:c>
      <x:c r="O47" s="25" t="str">
        <x:v>https://www.tiktok.com/@_itsjakaylaa</x:v>
      </x:c>
      <x:c r="P47" s="25" t="str">
        <x:v>https://apnews.com/article/1498fd0b9b778813f5827885d554c43e</x:v>
      </x:c>
      <x:c r="Q47" s="23" t="str">
        <x:v>Houston instructor whose viral choreography led to national teaching demand and Associated Press coverage.</x:v>
      </x:c>
      <x:c r="R47" s="23" t="str">
        <x:v>Verified public social</x:v>
      </x:c>
      <x:c r="S47" s="24" t="n">
        <x:v>46239.666666666664</x:v>
      </x:c>
      <x:c r="T47" s="24"/>
      <x:c r="U47" s="24"/>
      <x:c r="V47" s="24"/>
      <x:c r="W47" s="23" t="str">
        <x:v>Personalize first outreach</x:v>
      </x:c>
      <x:c r="X47" s="23" t="str"/>
      <x:c r="Y47" s="23" t="str">
        <x:v>Unknown</x:v>
      </x:c>
      <x:c r="Z47" s="23" t="str">
        <x:v>No</x:v>
      </x:c>
      <x:c r="AA47" s="23" t="str">
        <x:v>City research rank 2.</x:v>
      </x:c>
    </x:row>
    <x:row r="48" ht="40.5" customHeight="1">
      <x:c r="A48" s="23" t="str">
        <x:v>HOU-03</x:v>
      </x:c>
      <x:c r="B48" s="23" t="str">
        <x:v>Line Dancing With Gee</x:v>
      </x:c>
      <x:c r="C48" s="23" t="str">
        <x:v>Gloria (Gee)</x:v>
      </x:c>
      <x:c r="D48" s="23" t="str">
        <x:v>Houston</x:v>
      </x:c>
      <x:c r="E48" s="23" t="str">
        <x:v>TX</x:v>
      </x:c>
      <x:c r="F48" s="23" t="str">
        <x:v>Independent instructor</x:v>
      </x:c>
      <x:c r="G48" s="23" t="str">
        <x:v>Private events, parties, corporate line dance instruction</x:v>
      </x:c>
      <x:c r="H48" s="23" t="str">
        <x:v>P1</x:v>
      </x:c>
      <x:c r="I48" s="23" t="str">
        <x:v>Researched</x:v>
      </x:c>
      <x:c r="J48" s="23" t="str">
        <x:v>Booking platform</x:v>
      </x:c>
      <x:c r="K48" s="23" t="str"/>
      <x:c r="L48" s="23" t="str">
        <x:v>Not found</x:v>
      </x:c>
      <x:c r="M48" s="25" t="str"/>
      <x:c r="N48" s="25" t="str"/>
      <x:c r="O48" s="25" t="str">
        <x:v>https://www.gigsalad.com/line_dancing_with_gee_houston</x:v>
      </x:c>
      <x:c r="P48" s="25" t="str">
        <x:v>https://www.gigsalad.com/line_dancing_with_gee_houston</x:v>
      </x:c>
      <x:c r="Q48" s="23" t="str">
        <x:v>Houston instructor with 20-plus public reviews and verified bookings on a public event marketplace.</x:v>
      </x:c>
      <x:c r="R48" s="23" t="str">
        <x:v>Booking platform</x:v>
      </x:c>
      <x:c r="S48" s="24" t="n">
        <x:v>46239.666666666664</x:v>
      </x:c>
      <x:c r="T48" s="24"/>
      <x:c r="U48" s="24"/>
      <x:c r="V48" s="24"/>
      <x:c r="W48" s="23" t="str">
        <x:v>Personalize first outreach</x:v>
      </x:c>
      <x:c r="X48" s="23" t="str"/>
      <x:c r="Y48" s="23" t="str">
        <x:v>Unknown</x:v>
      </x:c>
      <x:c r="Z48" s="23" t="str">
        <x:v>No</x:v>
      </x:c>
      <x:c r="AA48" s="23" t="str">
        <x:v>City research rank 3. Public professional name used on booking profile.</x:v>
      </x:c>
    </x:row>
    <x:row r="49" ht="40.5" customHeight="1">
      <x:c r="A49" s="23" t="str">
        <x:v>HOU-04</x:v>
      </x:c>
      <x:c r="B49" s="23" t="str">
        <x:v>Cross The Line Dancing Houston</x:v>
      </x:c>
      <x:c r="C49" s="23" t="str">
        <x:v>Britt Beresik</x:v>
      </x:c>
      <x:c r="D49" s="23" t="str">
        <x:v>Houston</x:v>
      </x:c>
      <x:c r="E49" s="23" t="str">
        <x:v>TX</x:v>
      </x:c>
      <x:c r="F49" s="23" t="str">
        <x:v>Independent instructor</x:v>
      </x:c>
      <x:c r="G49" s="23" t="str">
        <x:v>Private and corporate functions, workshops</x:v>
      </x:c>
      <x:c r="H49" s="23" t="str">
        <x:v>P2</x:v>
      </x:c>
      <x:c r="I49" s="23" t="str">
        <x:v>Researched</x:v>
      </x:c>
      <x:c r="J49" s="23" t="str">
        <x:v>Email</x:v>
      </x:c>
      <x:c r="K49" s="23" t="str">
        <x:v>linedancinghouston@gmail.com</x:v>
      </x:c>
      <x:c r="L49" s="23" t="str">
        <x:v>Public business email</x:v>
      </x:c>
      <x:c r="M49" s="25" t="str"/>
      <x:c r="N49" s="25" t="str"/>
      <x:c r="O49" s="25" t="str">
        <x:v>https://www.linedancinghouston.com/</x:v>
      </x:c>
      <x:c r="P49" s="25" t="str">
        <x:v>https://www.linedancinghouston.com/about</x:v>
      </x:c>
      <x:c r="Q49" s="23" t="str">
        <x:v>Founder-led Houston service with private-event experience and national convention visibility.</x:v>
      </x:c>
      <x:c r="R49" s="23" t="str">
        <x:v>Verified official site</x:v>
      </x:c>
      <x:c r="S49" s="24" t="n">
        <x:v>46239.666666666664</x:v>
      </x:c>
      <x:c r="T49" s="24"/>
      <x:c r="U49" s="24"/>
      <x:c r="V49" s="24"/>
      <x:c r="W49" s="23" t="str">
        <x:v>Personalize first outreach</x:v>
      </x:c>
      <x:c r="X49" s="23" t="str"/>
      <x:c r="Y49" s="23" t="str">
        <x:v>Unknown</x:v>
      </x:c>
      <x:c r="Z49" s="23" t="str">
        <x:v>No</x:v>
      </x:c>
      <x:c r="AA49" s="23" t="str">
        <x:v>City research rank 4.</x:v>
      </x:c>
    </x:row>
    <x:row r="50" ht="40.5" customHeight="1">
      <x:c r="A50" s="23" t="str">
        <x:v>HOU-05</x:v>
      </x:c>
      <x:c r="B50" s="23" t="str">
        <x:v>Mind Body and Soul Dancers</x:v>
      </x:c>
      <x:c r="C50" s="23" t="str">
        <x:v>Nzinga</x:v>
      </x:c>
      <x:c r="D50" s="23" t="str">
        <x:v>Houston</x:v>
      </x:c>
      <x:c r="E50" s="23" t="str">
        <x:v>TX</x:v>
      </x:c>
      <x:c r="F50" s="23" t="str">
        <x:v>Independent instructor</x:v>
      </x:c>
      <x:c r="G50" s="23" t="str">
        <x:v>Corporate wellness, private events, instructor academy</x:v>
      </x:c>
      <x:c r="H50" s="23" t="str">
        <x:v>P2</x:v>
      </x:c>
      <x:c r="I50" s="23" t="str">
        <x:v>Researched</x:v>
      </x:c>
      <x:c r="J50" s="23" t="str">
        <x:v>Email</x:v>
      </x:c>
      <x:c r="K50" s="23" t="str">
        <x:v>nzinga@linedancehouston.com</x:v>
      </x:c>
      <x:c r="L50" s="23" t="str">
        <x:v>Public business email</x:v>
      </x:c>
      <x:c r="M50" s="25" t="str"/>
      <x:c r="N50" s="25" t="str"/>
      <x:c r="O50" s="25" t="str">
        <x:v>https://www.linedancehouston.com/</x:v>
      </x:c>
      <x:c r="P50" s="25" t="str">
        <x:v>https://www.linedancehouston.com/</x:v>
      </x:c>
      <x:c r="Q50" s="23" t="str">
        <x:v>Houston business leader with a differentiated corporate wellness offer and instructor training program.</x:v>
      </x:c>
      <x:c r="R50" s="23" t="str">
        <x:v>Verified official site</x:v>
      </x:c>
      <x:c r="S50" s="24" t="n">
        <x:v>46239.666666666664</x:v>
      </x:c>
      <x:c r="T50" s="24"/>
      <x:c r="U50" s="24"/>
      <x:c r="V50" s="24"/>
      <x:c r="W50" s="23" t="str">
        <x:v>Personalize first outreach</x:v>
      </x:c>
      <x:c r="X50" s="23" t="str"/>
      <x:c r="Y50" s="23" t="str">
        <x:v>Unknown</x:v>
      </x:c>
      <x:c r="Z50" s="23" t="str">
        <x:v>No</x:v>
      </x:c>
      <x:c r="AA50" s="23" t="str">
        <x:v>City research rank 5. Public professional name used on the official site.</x:v>
      </x:c>
    </x:row>
    <x:row r="51" ht="40.5" customHeight="1">
      <x:c r="A51" s="23" t="str">
        <x:v>HOU-06</x:v>
      </x:c>
      <x:c r="B51" s="23" t="str">
        <x:v>Line Dance Houston</x:v>
      </x:c>
      <x:c r="C51" s="23" t="str">
        <x:v>Pat Cel</x:v>
      </x:c>
      <x:c r="D51" s="23" t="str">
        <x:v>Houston</x:v>
      </x:c>
      <x:c r="E51" s="23" t="str">
        <x:v>TX</x:v>
      </x:c>
      <x:c r="F51" s="23" t="str">
        <x:v>Instructor team</x:v>
      </x:c>
      <x:c r="G51" s="23" t="str">
        <x:v>Line dance instruction, choreography, events</x:v>
      </x:c>
      <x:c r="H51" s="23" t="str">
        <x:v>P2</x:v>
      </x:c>
      <x:c r="I51" s="23" t="str">
        <x:v>Researched</x:v>
      </x:c>
      <x:c r="J51" s="23" t="str">
        <x:v>Email</x:v>
      </x:c>
      <x:c r="K51" s="23" t="str">
        <x:v>nzinga@linedancehouston.com</x:v>
      </x:c>
      <x:c r="L51" s="23" t="str">
        <x:v>Shared business email</x:v>
      </x:c>
      <x:c r="M51" s="25" t="str"/>
      <x:c r="N51" s="25" t="str"/>
      <x:c r="O51" s="25" t="str">
        <x:v>https://linedancehouston.cloud/meet-the-team/pat-cel</x:v>
      </x:c>
      <x:c r="P51" s="25" t="str">
        <x:v>https://linedancehouston.cloud/meet-the-team/pat-cel</x:v>
      </x:c>
      <x:c r="Q51" s="23" t="str">
        <x:v>Multi-award-winning Houston instructor with a long-running company and public team profile.</x:v>
      </x:c>
      <x:c r="R51" s="23" t="str">
        <x:v>Verified official site</x:v>
      </x:c>
      <x:c r="S51" s="24" t="n">
        <x:v>46239.666666666664</x:v>
      </x:c>
      <x:c r="T51" s="24"/>
      <x:c r="U51" s="24"/>
      <x:c r="V51" s="24"/>
      <x:c r="W51" s="23" t="str">
        <x:v>Personalize first outreach</x:v>
      </x:c>
      <x:c r="X51" s="23" t="str"/>
      <x:c r="Y51" s="23" t="str">
        <x:v>Unknown</x:v>
      </x:c>
      <x:c r="Z51" s="23" t="str">
        <x:v>No</x:v>
      </x:c>
      <x:c r="AA51" s="23" t="str">
        <x:v>City research rank 6.</x:v>
      </x:c>
    </x:row>
    <x:row r="52" ht="40.5" customHeight="1">
      <x:c r="A52" s="23" t="str">
        <x:v>HOU-07</x:v>
      </x:c>
      <x:c r="B52" s="23" t="str">
        <x:v>ReRe Steppas</x:v>
      </x:c>
      <x:c r="C52" s="23" t="str">
        <x:v>Renita Cooksey</x:v>
      </x:c>
      <x:c r="D52" s="23" t="str">
        <x:v>Houston</x:v>
      </x:c>
      <x:c r="E52" s="23" t="str">
        <x:v>TX</x:v>
      </x:c>
      <x:c r="F52" s="23" t="str">
        <x:v>Independent instructor</x:v>
      </x:c>
      <x:c r="G52" s="23" t="str">
        <x:v>Soul line dance classes and community events</x:v>
      </x:c>
      <x:c r="H52" s="23" t="str">
        <x:v>P2</x:v>
      </x:c>
      <x:c r="I52" s="23" t="str">
        <x:v>Researched</x:v>
      </x:c>
      <x:c r="J52" s="23" t="str">
        <x:v>Referral</x:v>
      </x:c>
      <x:c r="K52" s="23" t="str"/>
      <x:c r="L52" s="23" t="str">
        <x:v>Not found</x:v>
      </x:c>
      <x:c r="M52" s="25" t="str"/>
      <x:c r="N52" s="25" t="str"/>
      <x:c r="O52" s="25" t="str">
        <x:v>https://abc13.com/post/soul-line-dancing-meet-rere-steppas/18542873/</x:v>
      </x:c>
      <x:c r="P52" s="25" t="str">
        <x:v>https://abc13.com/post/soul-line-dancing-meet-rere-steppas/18542873/</x:v>
      </x:c>
      <x:c r="Q52" s="23" t="str">
        <x:v>Current Houston community instructor featured by ABC13 for the ReRe Steppas program.</x:v>
      </x:c>
      <x:c r="R52" s="23" t="str">
        <x:v>Editorial profile</x:v>
      </x:c>
      <x:c r="S52" s="24" t="n">
        <x:v>46239.666666666664</x:v>
      </x:c>
      <x:c r="T52" s="24"/>
      <x:c r="U52" s="24"/>
      <x:c r="V52" s="24"/>
      <x:c r="W52" s="23" t="str">
        <x:v>Request contact through ReRe Steppas public group</x:v>
      </x:c>
      <x:c r="X52" s="23" t="str"/>
      <x:c r="Y52" s="23" t="str">
        <x:v>Unknown</x:v>
      </x:c>
      <x:c r="Z52" s="23" t="str">
        <x:v>No</x:v>
      </x:c>
      <x:c r="AA52" s="23" t="str">
        <x:v>City research rank 7.</x:v>
      </x:c>
    </x:row>
    <x:row r="53" ht="40.5" customHeight="1">
      <x:c r="A53" s="23" t="str">
        <x:v>HOU-08</x:v>
      </x:c>
      <x:c r="B53" s="23" t="str">
        <x:v>Step N Class</x:v>
      </x:c>
      <x:c r="C53" s="23" t="str">
        <x:v>Ms. Stella</x:v>
      </x:c>
      <x:c r="D53" s="23" t="str">
        <x:v>Houston</x:v>
      </x:c>
      <x:c r="E53" s="23" t="str">
        <x:v>TX</x:v>
      </x:c>
      <x:c r="F53" s="23" t="str">
        <x:v>Independent instructor</x:v>
      </x:c>
      <x:c r="G53" s="23" t="str">
        <x:v>Private events, corporate sessions, showcases</x:v>
      </x:c>
      <x:c r="H53" s="23" t="str">
        <x:v>P3</x:v>
      </x:c>
      <x:c r="I53" s="23" t="str">
        <x:v>Researched</x:v>
      </x:c>
      <x:c r="J53" s="23" t="str">
        <x:v>Phone</x:v>
      </x:c>
      <x:c r="K53" s="23" t="str"/>
      <x:c r="L53" s="23" t="str">
        <x:v>Not found</x:v>
      </x:c>
      <x:c r="M53" s="25" t="str"/>
      <x:c r="N53" s="25" t="str"/>
      <x:c r="O53" s="25" t="str">
        <x:v>https://www.stepnclass.com/classes</x:v>
      </x:c>
      <x:c r="P53" s="25" t="str">
        <x:v>https://www.stepnclass.com/classes</x:v>
      </x:c>
      <x:c r="Q53" s="23" t="str">
        <x:v>Houston instructor with public classes, event experience, and a public booking phone number.</x:v>
      </x:c>
      <x:c r="R53" s="23" t="str">
        <x:v>Verified official site</x:v>
      </x:c>
      <x:c r="S53" s="24" t="n">
        <x:v>46239.666666666664</x:v>
      </x:c>
      <x:c r="T53" s="24"/>
      <x:c r="U53" s="24"/>
      <x:c r="V53" s="24"/>
      <x:c r="W53" s="23" t="str">
        <x:v>Personalize first outreach</x:v>
      </x:c>
      <x:c r="X53" s="23" t="str"/>
      <x:c r="Y53" s="23" t="str">
        <x:v>Unknown</x:v>
      </x:c>
      <x:c r="Z53" s="23" t="str">
        <x:v>No</x:v>
      </x:c>
      <x:c r="AA53" s="23" t="str">
        <x:v>City research rank 8. Public phone: 832-987-6260.</x:v>
      </x:c>
    </x:row>
    <x:row r="54" ht="40.5" customHeight="1">
      <x:c r="A54" s="23" t="str">
        <x:v>HOU-09</x:v>
      </x:c>
      <x:c r="B54" s="23" t="str">
        <x:v>What A Dancer</x:v>
      </x:c>
      <x:c r="C54" s="23" t="str">
        <x:v>Elsa Campbell</x:v>
      </x:c>
      <x:c r="D54" s="23" t="str">
        <x:v>Houston</x:v>
      </x:c>
      <x:c r="E54" s="23" t="str">
        <x:v>TX</x:v>
      </x:c>
      <x:c r="F54" s="23" t="str">
        <x:v>Independent instructor</x:v>
      </x:c>
      <x:c r="G54" s="23" t="str">
        <x:v>Line dance instruction and events</x:v>
      </x:c>
      <x:c r="H54" s="23" t="str">
        <x:v>P3</x:v>
      </x:c>
      <x:c r="I54" s="23" t="str">
        <x:v>Researched</x:v>
      </x:c>
      <x:c r="J54" s="23" t="str">
        <x:v>Email</x:v>
      </x:c>
      <x:c r="K54" s="23" t="str">
        <x:v>elsacampbell@sbcglobal.net</x:v>
      </x:c>
      <x:c r="L54" s="23" t="str">
        <x:v>Public business email</x:v>
      </x:c>
      <x:c r="M54" s="25" t="str"/>
      <x:c r="N54" s="25" t="str"/>
      <x:c r="O54" s="25" t="str">
        <x:v>https://www.whatadancer.com/</x:v>
      </x:c>
      <x:c r="P54" s="25" t="str">
        <x:v>https://texaslinedancejamboree.com/instructors-list/</x:v>
      </x:c>
      <x:c r="Q54" s="23" t="str">
        <x:v>Houston-area instructor with a dedicated site and current Texas event-roster visibility.</x:v>
      </x:c>
      <x:c r="R54" s="23" t="str">
        <x:v>Verified association list</x:v>
      </x:c>
      <x:c r="S54" s="24" t="n">
        <x:v>46239.666666666664</x:v>
      </x:c>
      <x:c r="T54" s="24"/>
      <x:c r="U54" s="24"/>
      <x:c r="V54" s="24"/>
      <x:c r="W54" s="23" t="str">
        <x:v>Personalize first outreach</x:v>
      </x:c>
      <x:c r="X54" s="23" t="str"/>
      <x:c r="Y54" s="23" t="str">
        <x:v>Unknown</x:v>
      </x:c>
      <x:c r="Z54" s="23" t="str">
        <x:v>No</x:v>
      </x:c>
      <x:c r="AA54" s="23" t="str">
        <x:v>City research rank 9.</x:v>
      </x:c>
    </x:row>
    <x:row r="55" ht="40.5" customHeight="1">
      <x:c r="A55" s="23" t="str">
        <x:v>HOU-10</x:v>
      </x:c>
      <x:c r="B55" s="23" t="str">
        <x:v>Independent Houston Instructor</x:v>
      </x:c>
      <x:c r="C55" s="23" t="str">
        <x:v>Cheryl Rogers</x:v>
      </x:c>
      <x:c r="D55" s="23" t="str">
        <x:v>Houston</x:v>
      </x:c>
      <x:c r="E55" s="23" t="str">
        <x:v>TX</x:v>
      </x:c>
      <x:c r="F55" s="23" t="str">
        <x:v>Independent instructor</x:v>
      </x:c>
      <x:c r="G55" s="23" t="str">
        <x:v>Line dance instruction and events</x:v>
      </x:c>
      <x:c r="H55" s="23" t="str">
        <x:v>P3</x:v>
      </x:c>
      <x:c r="I55" s="23" t="str">
        <x:v>Researched</x:v>
      </x:c>
      <x:c r="J55" s="23" t="str">
        <x:v>Email</x:v>
      </x:c>
      <x:c r="K55" s="23" t="str">
        <x:v>cheryl.rogers5678@gmail.com</x:v>
      </x:c>
      <x:c r="L55" s="23" t="str">
        <x:v>Public business email</x:v>
      </x:c>
      <x:c r="M55" s="25" t="str"/>
      <x:c r="N55" s="25" t="str"/>
      <x:c r="O55" s="25" t="str">
        <x:v>https://texaslinedancejamboree.com/instructors-list/</x:v>
      </x:c>
      <x:c r="P55" s="25" t="str">
        <x:v>https://texaslinedancejamboree.com/instructors-list/</x:v>
      </x:c>
      <x:c r="Q55" s="23" t="str">
        <x:v>Houston-area instructor on the current Texas Line Dance Jamboree roster.</x:v>
      </x:c>
      <x:c r="R55" s="23" t="str">
        <x:v>Verified association list</x:v>
      </x:c>
      <x:c r="S55" s="24" t="n">
        <x:v>46239.666666666664</x:v>
      </x:c>
      <x:c r="T55" s="24"/>
      <x:c r="U55" s="24"/>
      <x:c r="V55" s="24"/>
      <x:c r="W55" s="23" t="str">
        <x:v>Personalize first outreach</x:v>
      </x:c>
      <x:c r="X55" s="23" t="str"/>
      <x:c r="Y55" s="23" t="str">
        <x:v>Unknown</x:v>
      </x:c>
      <x:c r="Z55" s="23" t="str">
        <x:v>No</x:v>
      </x:c>
      <x:c r="AA55" s="23" t="str">
        <x:v>City research rank 10.</x:v>
      </x:c>
    </x:row>
    <x:row r="56" ht="40.5" customHeight="1">
      <x:c r="A56" s="23" t="str">
        <x:v>SFB-01</x:v>
      </x:c>
      <x:c r="B56" s="23" t="str">
        <x:v>Line Dancing Lisa</x:v>
      </x:c>
      <x:c r="C56" s="23" t="str">
        <x:v>Lisa</x:v>
      </x:c>
      <x:c r="D56" s="23" t="str">
        <x:v>San Francisco Bay Area</x:v>
      </x:c>
      <x:c r="E56" s="23" t="str">
        <x:v>CA</x:v>
      </x:c>
      <x:c r="F56" s="23" t="str">
        <x:v>Independent instructor</x:v>
      </x:c>
      <x:c r="G56" s="23" t="str">
        <x:v>Corporate events, weddings, private parties</x:v>
      </x:c>
      <x:c r="H56" s="23" t="str">
        <x:v>P1</x:v>
      </x:c>
      <x:c r="I56" s="23" t="str">
        <x:v>Researched</x:v>
      </x:c>
      <x:c r="J56" s="23" t="str">
        <x:v>Email</x:v>
      </x:c>
      <x:c r="K56" s="23" t="str">
        <x:v>lisa@linedancinglisa.com</x:v>
      </x:c>
      <x:c r="L56" s="23" t="str">
        <x:v>Public business email</x:v>
      </x:c>
      <x:c r="M56" s="25" t="str">
        <x:v>https://www.instagram.com/linedancinglisa/</x:v>
      </x:c>
      <x:c r="N56" s="25" t="str"/>
      <x:c r="O56" s="25" t="str">
        <x:v>https://www.linedancinglisa.com/</x:v>
      </x:c>
      <x:c r="P56" s="25" t="str">
        <x:v>https://www.linedancinglisa.com/</x:v>
      </x:c>
      <x:c r="Q56" s="23" t="str">
        <x:v>High-reach Bay Area instructor whose public partners report serving hundreds of dancers weekly.</x:v>
      </x:c>
      <x:c r="R56" s="23" t="str">
        <x:v>Verified official site</x:v>
      </x:c>
      <x:c r="S56" s="24" t="n">
        <x:v>46239.666666666664</x:v>
      </x:c>
      <x:c r="T56" s="24"/>
      <x:c r="U56" s="24"/>
      <x:c r="V56" s="24"/>
      <x:c r="W56" s="23" t="str">
        <x:v>Personalize first outreach</x:v>
      </x:c>
      <x:c r="X56" s="23" t="str"/>
      <x:c r="Y56" s="23" t="str">
        <x:v>Unknown</x:v>
      </x:c>
      <x:c r="Z56" s="23" t="str">
        <x:v>No</x:v>
      </x:c>
      <x:c r="AA56" s="23" t="str">
        <x:v>City research rank 1. Public professional first name used on the official site.</x:v>
      </x:c>
    </x:row>
    <x:row r="57" ht="40.5" customHeight="1">
      <x:c r="A57" s="23" t="str">
        <x:v>SFB-02</x:v>
      </x:c>
      <x:c r="B57" s="23" t="str">
        <x:v>Sundance Saloon</x:v>
      </x:c>
      <x:c r="C57" s="23" t="str">
        <x:v>Michael Metzger</x:v>
      </x:c>
      <x:c r="D57" s="23" t="str">
        <x:v>San Francisco Bay Area</x:v>
      </x:c>
      <x:c r="E57" s="23" t="str">
        <x:v>CA</x:v>
      </x:c>
      <x:c r="F57" s="23" t="str">
        <x:v>Instructor team</x:v>
      </x:c>
      <x:c r="G57" s="23" t="str">
        <x:v>Line dance lessons, choreography, community events</x:v>
      </x:c>
      <x:c r="H57" s="23" t="str">
        <x:v>P1</x:v>
      </x:c>
      <x:c r="I57" s="23" t="str">
        <x:v>Researched</x:v>
      </x:c>
      <x:c r="J57" s="23" t="str">
        <x:v>Email</x:v>
      </x:c>
      <x:c r="K57" s="23" t="str">
        <x:v>info@sundancesaloon.org</x:v>
      </x:c>
      <x:c r="L57" s="23" t="str">
        <x:v>Shared organization email</x:v>
      </x:c>
      <x:c r="M57" s="25" t="str"/>
      <x:c r="N57" s="25" t="str"/>
      <x:c r="O57" s="25" t="str">
        <x:v>https://www.sundancesaloon.org/lessons.html</x:v>
      </x:c>
      <x:c r="P57" s="25" t="str">
        <x:v>https://www.sundancesaloon.org/lessons.html</x:v>
      </x:c>
      <x:c r="Q57" s="23" t="str">
        <x:v>Prominent Bay Area instructor and choreographer with nearly 30 published dances and broad video reach.</x:v>
      </x:c>
      <x:c r="R57" s="23" t="str">
        <x:v>Verified official site</x:v>
      </x:c>
      <x:c r="S57" s="24" t="n">
        <x:v>46239.666666666664</x:v>
      </x:c>
      <x:c r="T57" s="24"/>
      <x:c r="U57" s="24"/>
      <x:c r="V57" s="24"/>
      <x:c r="W57" s="23" t="str">
        <x:v>Personalize first outreach</x:v>
      </x:c>
      <x:c r="X57" s="23" t="str"/>
      <x:c r="Y57" s="23" t="str">
        <x:v>Unknown</x:v>
      </x:c>
      <x:c r="Z57" s="23" t="str">
        <x:v>No</x:v>
      </x:c>
      <x:c r="AA57" s="23" t="str">
        <x:v>City research rank 2.</x:v>
      </x:c>
    </x:row>
    <x:row r="58" ht="40.5" customHeight="1">
      <x:c r="A58" s="23" t="str">
        <x:v>SFB-03</x:v>
      </x:c>
      <x:c r="B58" s="23" t="str">
        <x:v>Lower Haight Line Dancing</x:v>
      </x:c>
      <x:c r="C58" s="23" t="str">
        <x:v>Sean</x:v>
      </x:c>
      <x:c r="D58" s="23" t="str">
        <x:v>San Francisco Bay Area</x:v>
      </x:c>
      <x:c r="E58" s="23" t="str">
        <x:v>CA</x:v>
      </x:c>
      <x:c r="F58" s="23" t="str">
        <x:v>Instructor team</x:v>
      </x:c>
      <x:c r="G58" s="23" t="str">
        <x:v>Corporate, community, and private events</x:v>
      </x:c>
      <x:c r="H58" s="23" t="str">
        <x:v>P1</x:v>
      </x:c>
      <x:c r="I58" s="23" t="str">
        <x:v>Researched</x:v>
      </x:c>
      <x:c r="J58" s="23" t="str">
        <x:v>Email</x:v>
      </x:c>
      <x:c r="K58" s="23" t="str">
        <x:v>howdy@linedancesf.com</x:v>
      </x:c>
      <x:c r="L58" s="23" t="str">
        <x:v>Shared business email</x:v>
      </x:c>
      <x:c r="M58" s="25" t="str">
        <x:v>https://www.instagram.com/lowerhaightlinedancing/</x:v>
      </x:c>
      <x:c r="N58" s="25" t="str"/>
      <x:c r="O58" s="25" t="str">
        <x:v>https://linedancesf.com/</x:v>
      </x:c>
      <x:c r="P58" s="25" t="str">
        <x:v>https://linedancesf.com/</x:v>
      </x:c>
      <x:c r="Q58" s="23" t="str">
        <x:v>Co-leads a visible San Francisco program that reports events ranging from small classes to 2,000 attendees.</x:v>
      </x:c>
      <x:c r="R58" s="23" t="str">
        <x:v>Verified official site</x:v>
      </x:c>
      <x:c r="S58" s="24" t="n">
        <x:v>46239.666666666664</x:v>
      </x:c>
      <x:c r="T58" s="24"/>
      <x:c r="U58" s="24"/>
      <x:c r="V58" s="24"/>
      <x:c r="W58" s="23" t="str">
        <x:v>Personalize first outreach</x:v>
      </x:c>
      <x:c r="X58" s="23" t="str"/>
      <x:c r="Y58" s="23" t="str">
        <x:v>Unknown</x:v>
      </x:c>
      <x:c r="Z58" s="23" t="str">
        <x:v>No</x:v>
      </x:c>
      <x:c r="AA58" s="23" t="str">
        <x:v>City research rank 3. Public professional first name used on the official site.</x:v>
      </x:c>
    </x:row>
    <x:row r="59" ht="40.5" customHeight="1">
      <x:c r="A59" s="23" t="str">
        <x:v>SFB-04</x:v>
      </x:c>
      <x:c r="B59" s="23" t="str">
        <x:v>Lower Haight Line Dancing</x:v>
      </x:c>
      <x:c r="C59" s="23" t="str">
        <x:v>Joel</x:v>
      </x:c>
      <x:c r="D59" s="23" t="str">
        <x:v>San Francisco Bay Area</x:v>
      </x:c>
      <x:c r="E59" s="23" t="str">
        <x:v>CA</x:v>
      </x:c>
      <x:c r="F59" s="23" t="str">
        <x:v>Instructor team</x:v>
      </x:c>
      <x:c r="G59" s="23" t="str">
        <x:v>Corporate, community, and private events</x:v>
      </x:c>
      <x:c r="H59" s="23" t="str">
        <x:v>P2</x:v>
      </x:c>
      <x:c r="I59" s="23" t="str">
        <x:v>Researched</x:v>
      </x:c>
      <x:c r="J59" s="23" t="str">
        <x:v>Email</x:v>
      </x:c>
      <x:c r="K59" s="23" t="str">
        <x:v>howdy@linedancesf.com</x:v>
      </x:c>
      <x:c r="L59" s="23" t="str">
        <x:v>Shared business email</x:v>
      </x:c>
      <x:c r="M59" s="25" t="str">
        <x:v>https://www.instagram.com/lowerhaightlinedancing/</x:v>
      </x:c>
      <x:c r="N59" s="25" t="str"/>
      <x:c r="O59" s="25" t="str">
        <x:v>https://linedancesf.com/</x:v>
      </x:c>
      <x:c r="P59" s="25" t="str">
        <x:v>https://linedancesf.com/</x:v>
      </x:c>
      <x:c r="Q59" s="23" t="str">
        <x:v>Co-leads a visible San Francisco program that reports events ranging from small classes to 2,000 attendees.</x:v>
      </x:c>
      <x:c r="R59" s="23" t="str">
        <x:v>Verified official site</x:v>
      </x:c>
      <x:c r="S59" s="24" t="n">
        <x:v>46239.666666666664</x:v>
      </x:c>
      <x:c r="T59" s="24"/>
      <x:c r="U59" s="24"/>
      <x:c r="V59" s="24"/>
      <x:c r="W59" s="23" t="str">
        <x:v>Personalize first outreach</x:v>
      </x:c>
      <x:c r="X59" s="23" t="str"/>
      <x:c r="Y59" s="23" t="str">
        <x:v>Unknown</x:v>
      </x:c>
      <x:c r="Z59" s="23" t="str">
        <x:v>No</x:v>
      </x:c>
      <x:c r="AA59" s="23" t="str">
        <x:v>City research rank 4. Public professional first name used on the official site.</x:v>
      </x:c>
    </x:row>
    <x:row r="60" ht="40.5" customHeight="1">
      <x:c r="A60" s="23" t="str">
        <x:v>SFB-05</x:v>
      </x:c>
      <x:c r="B60" s="23" t="str">
        <x:v>Sundance Saloon</x:v>
      </x:c>
      <x:c r="C60" s="23" t="str">
        <x:v>Sheila Schlicht</x:v>
      </x:c>
      <x:c r="D60" s="23" t="str">
        <x:v>San Francisco Bay Area</x:v>
      </x:c>
      <x:c r="E60" s="23" t="str">
        <x:v>CA</x:v>
      </x:c>
      <x:c r="F60" s="23" t="str">
        <x:v>Instructor team</x:v>
      </x:c>
      <x:c r="G60" s="23" t="str">
        <x:v>Line dance instruction and events</x:v>
      </x:c>
      <x:c r="H60" s="23" t="str">
        <x:v>P2</x:v>
      </x:c>
      <x:c r="I60" s="23" t="str">
        <x:v>Researched</x:v>
      </x:c>
      <x:c r="J60" s="23" t="str">
        <x:v>Email</x:v>
      </x:c>
      <x:c r="K60" s="23" t="str">
        <x:v>info@sundancesaloon.org</x:v>
      </x:c>
      <x:c r="L60" s="23" t="str">
        <x:v>Shared organization email</x:v>
      </x:c>
      <x:c r="M60" s="25" t="str"/>
      <x:c r="N60" s="25" t="str"/>
      <x:c r="O60" s="25" t="str">
        <x:v>https://www.sundancesaloon.org/lessons.html</x:v>
      </x:c>
      <x:c r="P60" s="25" t="str">
        <x:v>https://www.sundancesaloon.org/lessons.html</x:v>
      </x:c>
      <x:c r="Q60" s="23" t="str">
        <x:v>Current instructor at one of San Francisco's best-known line dance organizations.</x:v>
      </x:c>
      <x:c r="R60" s="23" t="str">
        <x:v>Verified official site</x:v>
      </x:c>
      <x:c r="S60" s="24" t="n">
        <x:v>46239.666666666664</x:v>
      </x:c>
      <x:c r="T60" s="24"/>
      <x:c r="U60" s="24"/>
      <x:c r="V60" s="24"/>
      <x:c r="W60" s="23" t="str">
        <x:v>Personalize first outreach</x:v>
      </x:c>
      <x:c r="X60" s="23" t="str"/>
      <x:c r="Y60" s="23" t="str">
        <x:v>Unknown</x:v>
      </x:c>
      <x:c r="Z60" s="23" t="str">
        <x:v>No</x:v>
      </x:c>
      <x:c r="AA60" s="23" t="str">
        <x:v>City research rank 5.</x:v>
      </x:c>
    </x:row>
    <x:row r="61" ht="40.5" customHeight="1">
      <x:c r="A61" s="23" t="str">
        <x:v>SFB-06</x:v>
      </x:c>
      <x:c r="B61" s="23" t="str">
        <x:v>Sundance Saloon</x:v>
      </x:c>
      <x:c r="C61" s="23" t="str">
        <x:v>Randy Pocius</x:v>
      </x:c>
      <x:c r="D61" s="23" t="str">
        <x:v>San Francisco Bay Area</x:v>
      </x:c>
      <x:c r="E61" s="23" t="str">
        <x:v>CA</x:v>
      </x:c>
      <x:c r="F61" s="23" t="str">
        <x:v>Instructor team</x:v>
      </x:c>
      <x:c r="G61" s="23" t="str">
        <x:v>Line dance instruction and events</x:v>
      </x:c>
      <x:c r="H61" s="23" t="str">
        <x:v>P2</x:v>
      </x:c>
      <x:c r="I61" s="23" t="str">
        <x:v>Researched</x:v>
      </x:c>
      <x:c r="J61" s="23" t="str">
        <x:v>Email</x:v>
      </x:c>
      <x:c r="K61" s="23" t="str">
        <x:v>info@sundancesaloon.org</x:v>
      </x:c>
      <x:c r="L61" s="23" t="str">
        <x:v>Shared organization email</x:v>
      </x:c>
      <x:c r="M61" s="25" t="str"/>
      <x:c r="N61" s="25" t="str"/>
      <x:c r="O61" s="25" t="str">
        <x:v>https://www.sundancesaloon.org/lessons.html</x:v>
      </x:c>
      <x:c r="P61" s="25" t="str">
        <x:v>https://www.sundancesaloon.org/lessons.html</x:v>
      </x:c>
      <x:c r="Q61" s="23" t="str">
        <x:v>Current instructor at one of San Francisco's best-known line dance organizations.</x:v>
      </x:c>
      <x:c r="R61" s="23" t="str">
        <x:v>Verified official site</x:v>
      </x:c>
      <x:c r="S61" s="24" t="n">
        <x:v>46239.666666666664</x:v>
      </x:c>
      <x:c r="T61" s="24"/>
      <x:c r="U61" s="24"/>
      <x:c r="V61" s="24"/>
      <x:c r="W61" s="23" t="str">
        <x:v>Personalize first outreach</x:v>
      </x:c>
      <x:c r="X61" s="23" t="str"/>
      <x:c r="Y61" s="23" t="str">
        <x:v>Unknown</x:v>
      </x:c>
      <x:c r="Z61" s="23" t="str">
        <x:v>No</x:v>
      </x:c>
      <x:c r="AA61" s="23" t="str">
        <x:v>City research rank 6.</x:v>
      </x:c>
    </x:row>
    <x:row r="62" ht="40.5" customHeight="1">
      <x:c r="A62" s="23" t="str">
        <x:v>SFB-07</x:v>
      </x:c>
      <x:c r="B62" s="23" t="str">
        <x:v>Sundance Saloon</x:v>
      </x:c>
      <x:c r="C62" s="23" t="str">
        <x:v>Vince Avallone</x:v>
      </x:c>
      <x:c r="D62" s="23" t="str">
        <x:v>San Francisco Bay Area</x:v>
      </x:c>
      <x:c r="E62" s="23" t="str">
        <x:v>CA</x:v>
      </x:c>
      <x:c r="F62" s="23" t="str">
        <x:v>Instructor team</x:v>
      </x:c>
      <x:c r="G62" s="23" t="str">
        <x:v>Line dance instruction and events</x:v>
      </x:c>
      <x:c r="H62" s="23" t="str">
        <x:v>P2</x:v>
      </x:c>
      <x:c r="I62" s="23" t="str">
        <x:v>Researched</x:v>
      </x:c>
      <x:c r="J62" s="23" t="str">
        <x:v>Email</x:v>
      </x:c>
      <x:c r="K62" s="23" t="str">
        <x:v>info@sundancesaloon.org</x:v>
      </x:c>
      <x:c r="L62" s="23" t="str">
        <x:v>Shared organization email</x:v>
      </x:c>
      <x:c r="M62" s="25" t="str"/>
      <x:c r="N62" s="25" t="str"/>
      <x:c r="O62" s="25" t="str">
        <x:v>https://www.sundancesaloon.org/lessons.html</x:v>
      </x:c>
      <x:c r="P62" s="25" t="str">
        <x:v>https://www.sundancesaloon.org/lessons.html</x:v>
      </x:c>
      <x:c r="Q62" s="23" t="str">
        <x:v>Current instructor at one of San Francisco's best-known line dance organizations.</x:v>
      </x:c>
      <x:c r="R62" s="23" t="str">
        <x:v>Verified official site</x:v>
      </x:c>
      <x:c r="S62" s="24" t="n">
        <x:v>46239.666666666664</x:v>
      </x:c>
      <x:c r="T62" s="24"/>
      <x:c r="U62" s="24"/>
      <x:c r="V62" s="24"/>
      <x:c r="W62" s="23" t="str">
        <x:v>Personalize first outreach</x:v>
      </x:c>
      <x:c r="X62" s="23" t="str"/>
      <x:c r="Y62" s="23" t="str">
        <x:v>Unknown</x:v>
      </x:c>
      <x:c r="Z62" s="23" t="str">
        <x:v>No</x:v>
      </x:c>
      <x:c r="AA62" s="23" t="str">
        <x:v>City research rank 7.</x:v>
      </x:c>
    </x:row>
    <x:row r="63" ht="40.5" customHeight="1">
      <x:c r="A63" s="23" t="str">
        <x:v>SFB-08</x:v>
      </x:c>
      <x:c r="B63" s="23" t="str">
        <x:v>Dancing With Nanci</x:v>
      </x:c>
      <x:c r="C63" s="23" t="str">
        <x:v>Nanci</x:v>
      </x:c>
      <x:c r="D63" s="23" t="str">
        <x:v>San Francisco Bay Area</x:v>
      </x:c>
      <x:c r="E63" s="23" t="str">
        <x:v>CA</x:v>
      </x:c>
      <x:c r="F63" s="23" t="str">
        <x:v>Independent instructor</x:v>
      </x:c>
      <x:c r="G63" s="23" t="str">
        <x:v>San Jose and Bay Area line dance classes and events</x:v>
      </x:c>
      <x:c r="H63" s="23" t="str">
        <x:v>P3</x:v>
      </x:c>
      <x:c r="I63" s="23" t="str">
        <x:v>Researched</x:v>
      </x:c>
      <x:c r="J63" s="23" t="str">
        <x:v>Phone</x:v>
      </x:c>
      <x:c r="K63" s="23" t="str"/>
      <x:c r="L63" s="23" t="str">
        <x:v>Not found</x:v>
      </x:c>
      <x:c r="M63" s="25" t="str"/>
      <x:c r="N63" s="25" t="str"/>
      <x:c r="O63" s="25" t="str">
        <x:v>https://dancingwithnanci.com/</x:v>
      </x:c>
      <x:c r="P63" s="25" t="str">
        <x:v>https://dancingwithnanci.com/</x:v>
      </x:c>
      <x:c r="Q63" s="23" t="str">
        <x:v>Long-running South Bay instructor with current public classes and former major-venue experience.</x:v>
      </x:c>
      <x:c r="R63" s="23" t="str">
        <x:v>Verified official site</x:v>
      </x:c>
      <x:c r="S63" s="24" t="n">
        <x:v>46239.666666666664</x:v>
      </x:c>
      <x:c r="T63" s="24"/>
      <x:c r="U63" s="24"/>
      <x:c r="V63" s="24"/>
      <x:c r="W63" s="23" t="str">
        <x:v>Personalize first outreach</x:v>
      </x:c>
      <x:c r="X63" s="23" t="str"/>
      <x:c r="Y63" s="23" t="str">
        <x:v>Unknown</x:v>
      </x:c>
      <x:c r="Z63" s="23" t="str">
        <x:v>No</x:v>
      </x:c>
      <x:c r="AA63" s="23" t="str">
        <x:v>City research rank 8. Public phone: 408-505-4912. Public professional first name used on the official site.</x:v>
      </x:c>
    </x:row>
    <x:row r="64" ht="40.5" customHeight="1">
      <x:c r="A64" s="23" t="str">
        <x:v>SFB-09</x:v>
      </x:c>
      <x:c r="B64" s="23" t="str">
        <x:v>Bay Area Queer Dance Society</x:v>
      </x:c>
      <x:c r="C64" s="23" t="str">
        <x:v>Mickey Carfora</x:v>
      </x:c>
      <x:c r="D64" s="23" t="str">
        <x:v>San Francisco Bay Area</x:v>
      </x:c>
      <x:c r="E64" s="23" t="str">
        <x:v>CA</x:v>
      </x:c>
      <x:c r="F64" s="23" t="str">
        <x:v>Independent instructor</x:v>
      </x:c>
      <x:c r="G64" s="23" t="str">
        <x:v>Line dance instruction and community events</x:v>
      </x:c>
      <x:c r="H64" s="23" t="str">
        <x:v>P3</x:v>
      </x:c>
      <x:c r="I64" s="23" t="str">
        <x:v>Researched</x:v>
      </x:c>
      <x:c r="J64" s="23" t="str">
        <x:v>Referral</x:v>
      </x:c>
      <x:c r="K64" s="23" t="str"/>
      <x:c r="L64" s="23" t="str">
        <x:v>Not found</x:v>
      </x:c>
      <x:c r="M64" s="25" t="str"/>
      <x:c r="N64" s="25" t="str"/>
      <x:c r="O64" s="25" t="str">
        <x:v>https://baqds.org/instructors</x:v>
      </x:c>
      <x:c r="P64" s="25" t="str">
        <x:v>https://raincountrydance.org/hoedown/staff</x:v>
      </x:c>
      <x:c r="Q64" s="23" t="str">
        <x:v>Experienced Bay Area community instructor with recurring regional event-staff visibility.</x:v>
      </x:c>
      <x:c r="R64" s="23" t="str">
        <x:v>Venue or event route</x:v>
      </x:c>
      <x:c r="S64" s="24" t="n">
        <x:v>46239.666666666664</x:v>
      </x:c>
      <x:c r="T64" s="24"/>
      <x:c r="U64" s="24"/>
      <x:c r="V64" s="24"/>
      <x:c r="W64" s="23" t="str">
        <x:v>Request current contact through BAQDS</x:v>
      </x:c>
      <x:c r="X64" s="23" t="str"/>
      <x:c r="Y64" s="23" t="str">
        <x:v>Unknown</x:v>
      </x:c>
      <x:c r="Z64" s="23" t="str">
        <x:v>No</x:v>
      </x:c>
      <x:c r="AA64" s="23" t="str">
        <x:v>City research rank 9.</x:v>
      </x:c>
    </x:row>
    <x:row r="65" ht="40.5" customHeight="1">
      <x:c r="A65" s="23" t="str">
        <x:v>SFB-10</x:v>
      </x:c>
      <x:c r="B65" s="23" t="str">
        <x:v>SCUFF and Bay Area community events</x:v>
      </x:c>
      <x:c r="C65" s="23" t="str">
        <x:v>Leo Orringer</x:v>
      </x:c>
      <x:c r="D65" s="23" t="str">
        <x:v>San Francisco Bay Area</x:v>
      </x:c>
      <x:c r="E65" s="23" t="str">
        <x:v>CA</x:v>
      </x:c>
      <x:c r="F65" s="23" t="str">
        <x:v>Independent instructor</x:v>
      </x:c>
      <x:c r="G65" s="23" t="str">
        <x:v>Line dance instruction and community events</x:v>
      </x:c>
      <x:c r="H65" s="23" t="str">
        <x:v>P3</x:v>
      </x:c>
      <x:c r="I65" s="23" t="str">
        <x:v>Researched</x:v>
      </x:c>
      <x:c r="J65" s="23" t="str">
        <x:v>Referral</x:v>
      </x:c>
      <x:c r="K65" s="23" t="str"/>
      <x:c r="L65" s="23" t="str">
        <x:v>Not found</x:v>
      </x:c>
      <x:c r="M65" s="25" t="str"/>
      <x:c r="N65" s="25" t="str"/>
      <x:c r="O65" s="25" t="str">
        <x:v>https://raincountrydance.org/hoedown/staff</x:v>
      </x:c>
      <x:c r="P65" s="25" t="str">
        <x:v>https://raincountrydance.org/hoedown/staff</x:v>
      </x:c>
      <x:c r="Q65" s="23" t="str">
        <x:v>Oakland-area instructor with recurring regional event-staff visibility.</x:v>
      </x:c>
      <x:c r="R65" s="23" t="str">
        <x:v>Venue or event route</x:v>
      </x:c>
      <x:c r="S65" s="24" t="n">
        <x:v>46239.666666666664</x:v>
      </x:c>
      <x:c r="T65" s="24"/>
      <x:c r="U65" s="24"/>
      <x:c r="V65" s="24"/>
      <x:c r="W65" s="23" t="str">
        <x:v>Request current contact through event organizer</x:v>
      </x:c>
      <x:c r="X65" s="23" t="str"/>
      <x:c r="Y65" s="23" t="str">
        <x:v>Unknown</x:v>
      </x:c>
      <x:c r="Z65" s="23" t="str">
        <x:v>No</x:v>
      </x:c>
      <x:c r="AA65" s="23" t="str">
        <x:v>City research rank 10.</x:v>
      </x:c>
    </x:row>
    <x:row r="66" ht="40.5" customHeight="1">
      <x:c r="A66" s="23" t="str">
        <x:v>NYC-01</x:v>
      </x:c>
      <x:c r="B66" s="23" t="str">
        <x:v>Country City Line Dancing</x:v>
      </x:c>
      <x:c r="C66" s="23" t="str">
        <x:v>Jenn</x:v>
      </x:c>
      <x:c r="D66" s="23" t="str">
        <x:v>New York City metro</x:v>
      </x:c>
      <x:c r="E66" s="23" t="str">
        <x:v>NY</x:v>
      </x:c>
      <x:c r="F66" s="23" t="str">
        <x:v>Independent instructor</x:v>
      </x:c>
      <x:c r="G66" s="23" t="str">
        <x:v>Private events across NYC, Long Island, Westchester, and New Jersey</x:v>
      </x:c>
      <x:c r="H66" s="23" t="str">
        <x:v>P1</x:v>
      </x:c>
      <x:c r="I66" s="23" t="str">
        <x:v>Researched</x:v>
      </x:c>
      <x:c r="J66" s="23" t="str">
        <x:v>Email</x:v>
      </x:c>
      <x:c r="K66" s="23" t="str">
        <x:v>Jenn@Countrycityny.com</x:v>
      </x:c>
      <x:c r="L66" s="23" t="str">
        <x:v>Public business email</x:v>
      </x:c>
      <x:c r="M66" s="25" t="str">
        <x:v>https://www.instagram.com/countrycitylinedancing/</x:v>
      </x:c>
      <x:c r="N66" s="25" t="str">
        <x:v>https://www.tiktok.com/@countrycitylinedancing</x:v>
      </x:c>
      <x:c r="O66" s="25" t="str">
        <x:v>https://www.countrycityny.com/</x:v>
      </x:c>
      <x:c r="P66" s="25" t="str">
        <x:v>https://www.countrycityny.com/</x:v>
      </x:c>
      <x:c r="Q66" s="23" t="str">
        <x:v>High-leverage NYC metro instructor serving all five boroughs and surrounding suburban markets.</x:v>
      </x:c>
      <x:c r="R66" s="23" t="str">
        <x:v>Verified official site</x:v>
      </x:c>
      <x:c r="S66" s="24" t="n">
        <x:v>46239.666666666664</x:v>
      </x:c>
      <x:c r="T66" s="24"/>
      <x:c r="U66" s="24"/>
      <x:c r="V66" s="24"/>
      <x:c r="W66" s="23" t="str">
        <x:v>Personalize first outreach</x:v>
      </x:c>
      <x:c r="X66" s="23" t="str"/>
      <x:c r="Y66" s="23" t="str">
        <x:v>Unknown</x:v>
      </x:c>
      <x:c r="Z66" s="23" t="str">
        <x:v>No</x:v>
      </x:c>
      <x:c r="AA66" s="23" t="str">
        <x:v>City research rank 1. Public professional first name used on the official site.</x:v>
      </x:c>
    </x:row>
    <x:row r="67" ht="40.5" customHeight="1">
      <x:c r="A67" s="23" t="str">
        <x:v>NYC-02</x:v>
      </x:c>
      <x:c r="B67" s="23" t="str">
        <x:v>Do Si Don'tcha</x:v>
      </x:c>
      <x:c r="C67" s="23" t="str">
        <x:v>Pony</x:v>
      </x:c>
      <x:c r="D67" s="23" t="str">
        <x:v>New York City metro</x:v>
      </x:c>
      <x:c r="E67" s="23" t="str">
        <x:v>NY</x:v>
      </x:c>
      <x:c r="F67" s="23" t="str">
        <x:v>Instructor team</x:v>
      </x:c>
      <x:c r="G67" s="23" t="str">
        <x:v>NYC events, classes, pop-ups, creator content</x:v>
      </x:c>
      <x:c r="H67" s="23" t="str">
        <x:v>P1</x:v>
      </x:c>
      <x:c r="I67" s="23" t="str">
        <x:v>Researched</x:v>
      </x:c>
      <x:c r="J67" s="23" t="str">
        <x:v>Email</x:v>
      </x:c>
      <x:c r="K67" s="23" t="str">
        <x:v>info@dosidontcha.world</x:v>
      </x:c>
      <x:c r="L67" s="23" t="str">
        <x:v>Shared business email</x:v>
      </x:c>
      <x:c r="M67" s="25" t="str">
        <x:v>https://www.instagram.com/ponyandparis/</x:v>
      </x:c>
      <x:c r="N67" s="25" t="str">
        <x:v>https://www.tiktok.com/@ponyandparis</x:v>
      </x:c>
      <x:c r="O67" s="25" t="str">
        <x:v>https://www.dosidontcha.world/</x:v>
      </x:c>
      <x:c r="P67" s="25" t="str">
        <x:v>https://www.dosidontcha.world/</x:v>
      </x:c>
      <x:c r="Q67" s="23" t="str">
        <x:v>Co-leads a recognizable NYC country dance brand with active public social channels.</x:v>
      </x:c>
      <x:c r="R67" s="23" t="str">
        <x:v>Verified official site</x:v>
      </x:c>
      <x:c r="S67" s="24" t="n">
        <x:v>46239.666666666664</x:v>
      </x:c>
      <x:c r="T67" s="24"/>
      <x:c r="U67" s="24"/>
      <x:c r="V67" s="24"/>
      <x:c r="W67" s="23" t="str">
        <x:v>Personalize first outreach</x:v>
      </x:c>
      <x:c r="X67" s="23" t="str"/>
      <x:c r="Y67" s="23" t="str">
        <x:v>Unknown</x:v>
      </x:c>
      <x:c r="Z67" s="23" t="str">
        <x:v>No</x:v>
      </x:c>
      <x:c r="AA67" s="23" t="str">
        <x:v>City research rank 2. Public professional name used by the official brand.</x:v>
      </x:c>
    </x:row>
    <x:row r="68" ht="40.5" customHeight="1">
      <x:c r="A68" s="23" t="str">
        <x:v>NYC-03</x:v>
      </x:c>
      <x:c r="B68" s="23" t="str">
        <x:v>Do Si Don'tcha</x:v>
      </x:c>
      <x:c r="C68" s="23" t="str">
        <x:v>Paris</x:v>
      </x:c>
      <x:c r="D68" s="23" t="str">
        <x:v>New York City metro</x:v>
      </x:c>
      <x:c r="E68" s="23" t="str">
        <x:v>NY</x:v>
      </x:c>
      <x:c r="F68" s="23" t="str">
        <x:v>Instructor team</x:v>
      </x:c>
      <x:c r="G68" s="23" t="str">
        <x:v>NYC events, classes, pop-ups, creator content</x:v>
      </x:c>
      <x:c r="H68" s="23" t="str">
        <x:v>P1</x:v>
      </x:c>
      <x:c r="I68" s="23" t="str">
        <x:v>Researched</x:v>
      </x:c>
      <x:c r="J68" s="23" t="str">
        <x:v>Email</x:v>
      </x:c>
      <x:c r="K68" s="23" t="str">
        <x:v>info@dosidontcha.world</x:v>
      </x:c>
      <x:c r="L68" s="23" t="str">
        <x:v>Shared business email</x:v>
      </x:c>
      <x:c r="M68" s="25" t="str">
        <x:v>https://www.instagram.com/ponyandparis/</x:v>
      </x:c>
      <x:c r="N68" s="25" t="str">
        <x:v>https://www.tiktok.com/@ponyandparis</x:v>
      </x:c>
      <x:c r="O68" s="25" t="str">
        <x:v>https://www.dosidontcha.world/</x:v>
      </x:c>
      <x:c r="P68" s="25" t="str">
        <x:v>https://www.dosidontcha.world/</x:v>
      </x:c>
      <x:c r="Q68" s="23" t="str">
        <x:v>Co-leads a recognizable NYC country dance brand with active public social channels.</x:v>
      </x:c>
      <x:c r="R68" s="23" t="str">
        <x:v>Verified official site</x:v>
      </x:c>
      <x:c r="S68" s="24" t="n">
        <x:v>46239.666666666664</x:v>
      </x:c>
      <x:c r="T68" s="24"/>
      <x:c r="U68" s="24"/>
      <x:c r="V68" s="24"/>
      <x:c r="W68" s="23" t="str">
        <x:v>Personalize first outreach</x:v>
      </x:c>
      <x:c r="X68" s="23" t="str"/>
      <x:c r="Y68" s="23" t="str">
        <x:v>Unknown</x:v>
      </x:c>
      <x:c r="Z68" s="23" t="str">
        <x:v>No</x:v>
      </x:c>
      <x:c r="AA68" s="23" t="str">
        <x:v>City research rank 3. Public professional name used by the official brand.</x:v>
      </x:c>
    </x:row>
    <x:row r="69" ht="40.5" customHeight="1">
      <x:c r="A69" s="23" t="str">
        <x:v>NYC-04</x:v>
      </x:c>
      <x:c r="B69" s="23" t="str">
        <x:v>Rona Kaye Line Dance</x:v>
      </x:c>
      <x:c r="C69" s="23" t="str">
        <x:v>Rona Kaye</x:v>
      </x:c>
      <x:c r="D69" s="23" t="str">
        <x:v>New York City metro</x:v>
      </x:c>
      <x:c r="E69" s="23" t="str">
        <x:v>NY</x:v>
      </x:c>
      <x:c r="F69" s="23" t="str">
        <x:v>Independent instructor</x:v>
      </x:c>
      <x:c r="G69" s="23" t="str">
        <x:v>Manhattan classes and private events</x:v>
      </x:c>
      <x:c r="H69" s="23" t="str">
        <x:v>P2</x:v>
      </x:c>
      <x:c r="I69" s="23" t="str">
        <x:v>Researched</x:v>
      </x:c>
      <x:c r="J69" s="23" t="str">
        <x:v>Email</x:v>
      </x:c>
      <x:c r="K69" s="23" t="str">
        <x:v>RonaKaye112@Yahoo.com</x:v>
      </x:c>
      <x:c r="L69" s="23" t="str">
        <x:v>Public business email</x:v>
      </x:c>
      <x:c r="M69" s="25" t="str"/>
      <x:c r="N69" s="25" t="str"/>
      <x:c r="O69" s="25" t="str">
        <x:v>https://ronakaye.com/</x:v>
      </x:c>
      <x:c r="P69" s="25" t="str">
        <x:v>https://ronakaye.com/location/</x:v>
      </x:c>
      <x:c r="Q69" s="23" t="str">
        <x:v>Long-running Manhattan instructor with a direct public email and established local presence.</x:v>
      </x:c>
      <x:c r="R69" s="23" t="str">
        <x:v>Verified official site</x:v>
      </x:c>
      <x:c r="S69" s="24" t="n">
        <x:v>46239.666666666664</x:v>
      </x:c>
      <x:c r="T69" s="24"/>
      <x:c r="U69" s="24"/>
      <x:c r="V69" s="24"/>
      <x:c r="W69" s="23" t="str">
        <x:v>Personalize first outreach</x:v>
      </x:c>
      <x:c r="X69" s="23" t="str"/>
      <x:c r="Y69" s="23" t="str">
        <x:v>Unknown</x:v>
      </x:c>
      <x:c r="Z69" s="23" t="str">
        <x:v>No</x:v>
      </x:c>
      <x:c r="AA69" s="23" t="str">
        <x:v>City research rank 4.</x:v>
      </x:c>
    </x:row>
    <x:row r="70" ht="40.5" customHeight="1">
      <x:c r="A70" s="23" t="str">
        <x:v>NYC-05</x:v>
      </x:c>
      <x:c r="B70" s="23" t="str">
        <x:v>Dancing With Deanna</x:v>
      </x:c>
      <x:c r="C70" s="23" t="str">
        <x:v>Deanna</x:v>
      </x:c>
      <x:c r="D70" s="23" t="str">
        <x:v>New York City metro</x:v>
      </x:c>
      <x:c r="E70" s="23" t="str">
        <x:v>NY</x:v>
      </x:c>
      <x:c r="F70" s="23" t="str">
        <x:v>Independent instructor</x:v>
      </x:c>
      <x:c r="G70" s="23" t="str">
        <x:v>Long Island classes, parties, and events</x:v>
      </x:c>
      <x:c r="H70" s="23" t="str">
        <x:v>P2</x:v>
      </x:c>
      <x:c r="I70" s="23" t="str">
        <x:v>Researched</x:v>
      </x:c>
      <x:c r="J70" s="23" t="str">
        <x:v>Contact form</x:v>
      </x:c>
      <x:c r="K70" s="23" t="str"/>
      <x:c r="L70" s="23" t="str">
        <x:v>Not found</x:v>
      </x:c>
      <x:c r="M70" s="25" t="str"/>
      <x:c r="N70" s="25" t="str"/>
      <x:c r="O70" s="25" t="str">
        <x:v>https://www.dancingwithdeanna.com/</x:v>
      </x:c>
      <x:c r="P70" s="25" t="str">
        <x:v>https://www.dancingwithdeanna.com/</x:v>
      </x:c>
      <x:c r="Q70" s="23" t="str">
        <x:v>Visible Long Island instructor with a dedicated booking site and current local programming.</x:v>
      </x:c>
      <x:c r="R70" s="23" t="str">
        <x:v>Verified official site</x:v>
      </x:c>
      <x:c r="S70" s="24" t="n">
        <x:v>46239.666666666664</x:v>
      </x:c>
      <x:c r="T70" s="24"/>
      <x:c r="U70" s="24"/>
      <x:c r="V70" s="24"/>
      <x:c r="W70" s="23" t="str">
        <x:v>Personalize first outreach</x:v>
      </x:c>
      <x:c r="X70" s="23" t="str"/>
      <x:c r="Y70" s="23" t="str">
        <x:v>Unknown</x:v>
      </x:c>
      <x:c r="Z70" s="23" t="str">
        <x:v>No</x:v>
      </x:c>
      <x:c r="AA70" s="23" t="str">
        <x:v>City research rank 5. Public professional first name used on the official site.</x:v>
      </x:c>
    </x:row>
    <x:row r="71" ht="40.5" customHeight="1">
      <x:c r="A71" s="23" t="str">
        <x:v>NYC-06</x:v>
      </x:c>
      <x:c r="B71" s="23" t="str">
        <x:v>Line Dancing With Lynn</x:v>
      </x:c>
      <x:c r="C71" s="23" t="str">
        <x:v>Lynn Robles</x:v>
      </x:c>
      <x:c r="D71" s="23" t="str">
        <x:v>New York City metro</x:v>
      </x:c>
      <x:c r="E71" s="23" t="str">
        <x:v>NY</x:v>
      </x:c>
      <x:c r="F71" s="23" t="str">
        <x:v>Independent instructor</x:v>
      </x:c>
      <x:c r="G71" s="23" t="str">
        <x:v>Long Island weekly classes and guest instruction</x:v>
      </x:c>
      <x:c r="H71" s="23" t="str">
        <x:v>P2</x:v>
      </x:c>
      <x:c r="I71" s="23" t="str">
        <x:v>Researched</x:v>
      </x:c>
      <x:c r="J71" s="23" t="str">
        <x:v>Contact form</x:v>
      </x:c>
      <x:c r="K71" s="23" t="str"/>
      <x:c r="L71" s="23" t="str">
        <x:v>Not found</x:v>
      </x:c>
      <x:c r="M71" s="25" t="str"/>
      <x:c r="N71" s="25" t="str"/>
      <x:c r="O71" s="25" t="str">
        <x:v>https://www.linedancingwithlynn.com/</x:v>
      </x:c>
      <x:c r="P71" s="25" t="str">
        <x:v>https://www.linedancingwithlynn.com/about</x:v>
      </x:c>
      <x:c r="Q71" s="23" t="str">
        <x:v>Current Long Island instructor with weekly teaching and guest-event visibility.</x:v>
      </x:c>
      <x:c r="R71" s="23" t="str">
        <x:v>Verified official site</x:v>
      </x:c>
      <x:c r="S71" s="24" t="n">
        <x:v>46239.666666666664</x:v>
      </x:c>
      <x:c r="T71" s="24"/>
      <x:c r="U71" s="24"/>
      <x:c r="V71" s="24"/>
      <x:c r="W71" s="23" t="str">
        <x:v>Personalize first outreach</x:v>
      </x:c>
      <x:c r="X71" s="23" t="str"/>
      <x:c r="Y71" s="23" t="str">
        <x:v>Unknown</x:v>
      </x:c>
      <x:c r="Z71" s="23" t="str">
        <x:v>No</x:v>
      </x:c>
      <x:c r="AA71" s="23" t="str">
        <x:v>City research rank 6.</x:v>
      </x:c>
    </x:row>
    <x:row r="72" ht="40.5" customHeight="1">
      <x:c r="A72" s="23" t="str">
        <x:v>NYC-07</x:v>
      </x:c>
      <x:c r="B72" s="23" t="str">
        <x:v>Line Dancing With Jenn</x:v>
      </x:c>
      <x:c r="C72" s="23" t="str">
        <x:v>Jenn Demeo</x:v>
      </x:c>
      <x:c r="D72" s="23" t="str">
        <x:v>New York City metro</x:v>
      </x:c>
      <x:c r="E72" s="23" t="str">
        <x:v>NY</x:v>
      </x:c>
      <x:c r="F72" s="23" t="str">
        <x:v>Independent instructor</x:v>
      </x:c>
      <x:c r="G72" s="23" t="str">
        <x:v>Long Island line dance classes and events</x:v>
      </x:c>
      <x:c r="H72" s="23" t="str">
        <x:v>P2</x:v>
      </x:c>
      <x:c r="I72" s="23" t="str">
        <x:v>Researched</x:v>
      </x:c>
      <x:c r="J72" s="23" t="str">
        <x:v>Email</x:v>
      </x:c>
      <x:c r="K72" s="23" t="str">
        <x:v>linedancingwithjenn@aol.com</x:v>
      </x:c>
      <x:c r="L72" s="23" t="str">
        <x:v>Public business email</x:v>
      </x:c>
      <x:c r="M72" s="25" t="str"/>
      <x:c r="N72" s="25" t="str"/>
      <x:c r="O72" s="25" t="str">
        <x:v>https://www.thedancecalendar.com/_files/ugd/bda0a7_0b705d757eb74aaf91c8ed6434b727a8.pdf</x:v>
      </x:c>
      <x:c r="P72" s="25" t="str">
        <x:v>https://www.thedancecalendar.com/_files/ugd/bda0a7_0b705d757eb74aaf91c8ed6434b727a8.pdf</x:v>
      </x:c>
      <x:c r="Q72" s="23" t="str">
        <x:v>Current Long Island calendar presence with direct public email and phone.</x:v>
      </x:c>
      <x:c r="R72" s="23" t="str">
        <x:v>Verified association list</x:v>
      </x:c>
      <x:c r="S72" s="24" t="n">
        <x:v>46239.666666666664</x:v>
      </x:c>
      <x:c r="T72" s="24"/>
      <x:c r="U72" s="24"/>
      <x:c r="V72" s="24"/>
      <x:c r="W72" s="23" t="str">
        <x:v>Personalize first outreach</x:v>
      </x:c>
      <x:c r="X72" s="23" t="str"/>
      <x:c r="Y72" s="23" t="str">
        <x:v>Unknown</x:v>
      </x:c>
      <x:c r="Z72" s="23" t="str">
        <x:v>No</x:v>
      </x:c>
      <x:c r="AA72" s="23" t="str">
        <x:v>City research rank 7. Public phone: 631-875-0433.</x:v>
      </x:c>
    </x:row>
    <x:row r="73" ht="40.5" customHeight="1">
      <x:c r="A73" s="23" t="str">
        <x:v>NYC-08</x:v>
      </x:c>
      <x:c r="B73" s="23" t="str">
        <x:v>Line Dance With Elena</x:v>
      </x:c>
      <x:c r="C73" s="23" t="str">
        <x:v>Elena</x:v>
      </x:c>
      <x:c r="D73" s="23" t="str">
        <x:v>New York City metro</x:v>
      </x:c>
      <x:c r="E73" s="23" t="str">
        <x:v>NY</x:v>
      </x:c>
      <x:c r="F73" s="23" t="str">
        <x:v>Independent instructor</x:v>
      </x:c>
      <x:c r="G73" s="23" t="str">
        <x:v>Long Island line dance classes and events</x:v>
      </x:c>
      <x:c r="H73" s="23" t="str">
        <x:v>P3</x:v>
      </x:c>
      <x:c r="I73" s="23" t="str">
        <x:v>Researched</x:v>
      </x:c>
      <x:c r="J73" s="23" t="str">
        <x:v>Email</x:v>
      </x:c>
      <x:c r="K73" s="23" t="str">
        <x:v>linedancewithelena@aol.com</x:v>
      </x:c>
      <x:c r="L73" s="23" t="str">
        <x:v>Public business email</x:v>
      </x:c>
      <x:c r="M73" s="25" t="str"/>
      <x:c r="N73" s="25" t="str"/>
      <x:c r="O73" s="25" t="str">
        <x:v>https://licma.org/</x:v>
      </x:c>
      <x:c r="P73" s="25" t="str">
        <x:v>https://licma.org/</x:v>
      </x:c>
      <x:c r="Q73" s="23" t="str">
        <x:v>Current Long Island line dance association listing with a direct public email and phone.</x:v>
      </x:c>
      <x:c r="R73" s="23" t="str">
        <x:v>Verified association list</x:v>
      </x:c>
      <x:c r="S73" s="24" t="n">
        <x:v>46239.666666666664</x:v>
      </x:c>
      <x:c r="T73" s="24"/>
      <x:c r="U73" s="24"/>
      <x:c r="V73" s="24"/>
      <x:c r="W73" s="23" t="str">
        <x:v>Personalize first outreach</x:v>
      </x:c>
      <x:c r="X73" s="23" t="str"/>
      <x:c r="Y73" s="23" t="str">
        <x:v>Unknown</x:v>
      </x:c>
      <x:c r="Z73" s="23" t="str">
        <x:v>No</x:v>
      </x:c>
      <x:c r="AA73" s="23" t="str">
        <x:v>City research rank 8. Public phone: 631-834-1024. Public professional first name used in the listing.</x:v>
      </x:c>
    </x:row>
    <x:row r="74" ht="40.5" customHeight="1">
      <x:c r="A74" s="23" t="str">
        <x:v>NYC-09</x:v>
      </x:c>
      <x:c r="B74" s="23" t="str">
        <x:v>Independent Long Island Instructor</x:v>
      </x:c>
      <x:c r="C74" s="23" t="str">
        <x:v>Bill Iozzino</x:v>
      </x:c>
      <x:c r="D74" s="23" t="str">
        <x:v>New York City metro</x:v>
      </x:c>
      <x:c r="E74" s="23" t="str">
        <x:v>NY</x:v>
      </x:c>
      <x:c r="F74" s="23" t="str">
        <x:v>Independent instructor</x:v>
      </x:c>
      <x:c r="G74" s="23" t="str">
        <x:v>Long Island line dance classes and events</x:v>
      </x:c>
      <x:c r="H74" s="23" t="str">
        <x:v>P3</x:v>
      </x:c>
      <x:c r="I74" s="23" t="str">
        <x:v>Researched</x:v>
      </x:c>
      <x:c r="J74" s="23" t="str">
        <x:v>Email</x:v>
      </x:c>
      <x:c r="K74" s="23" t="str">
        <x:v>Mordain5@aol.com</x:v>
      </x:c>
      <x:c r="L74" s="23" t="str">
        <x:v>Public business email</x:v>
      </x:c>
      <x:c r="M74" s="25" t="str"/>
      <x:c r="N74" s="25" t="str"/>
      <x:c r="O74" s="25" t="str">
        <x:v>https://licma.org/</x:v>
      </x:c>
      <x:c r="P74" s="25" t="str">
        <x:v>https://licma.org/</x:v>
      </x:c>
      <x:c r="Q74" s="23" t="str">
        <x:v>Current Long Island line dance association listing with a direct public email and phone.</x:v>
      </x:c>
      <x:c r="R74" s="23" t="str">
        <x:v>Verified association list</x:v>
      </x:c>
      <x:c r="S74" s="24" t="n">
        <x:v>46239.666666666664</x:v>
      </x:c>
      <x:c r="T74" s="24"/>
      <x:c r="U74" s="24"/>
      <x:c r="V74" s="24"/>
      <x:c r="W74" s="23" t="str">
        <x:v>Personalize first outreach</x:v>
      </x:c>
      <x:c r="X74" s="23" t="str"/>
      <x:c r="Y74" s="23" t="str">
        <x:v>Unknown</x:v>
      </x:c>
      <x:c r="Z74" s="23" t="str">
        <x:v>No</x:v>
      </x:c>
      <x:c r="AA74" s="23" t="str">
        <x:v>City research rank 9. Public phone: 631-745-8560.</x:v>
      </x:c>
    </x:row>
    <x:row r="75" ht="40.5" customHeight="1">
      <x:c r="A75" s="23" t="str">
        <x:v>NYC-10</x:v>
      </x:c>
      <x:c r="B75" s="23" t="str">
        <x:v>Salty Cowboy</x:v>
      </x:c>
      <x:c r="C75" s="23" t="str">
        <x:v>Greg Saltzman</x:v>
      </x:c>
      <x:c r="D75" s="23" t="str">
        <x:v>New York City metro</x:v>
      </x:c>
      <x:c r="E75" s="23" t="str">
        <x:v>NY</x:v>
      </x:c>
      <x:c r="F75" s="23" t="str">
        <x:v>Independent instructor</x:v>
      </x:c>
      <x:c r="G75" s="23" t="str">
        <x:v>Long Island country line dance instruction and events</x:v>
      </x:c>
      <x:c r="H75" s="23" t="str">
        <x:v>P3</x:v>
      </x:c>
      <x:c r="I75" s="23" t="str">
        <x:v>Researched</x:v>
      </x:c>
      <x:c r="J75" s="23" t="str">
        <x:v>Email</x:v>
      </x:c>
      <x:c r="K75" s="23" t="str">
        <x:v>saltycowboyny@gmail.com</x:v>
      </x:c>
      <x:c r="L75" s="23" t="str">
        <x:v>Public business email</x:v>
      </x:c>
      <x:c r="M75" s="25" t="str"/>
      <x:c r="N75" s="25" t="str"/>
      <x:c r="O75" s="25" t="str">
        <x:v>https://www.thedancecalendar.com/_files/ugd/bda0a7_0b705d757eb74aaf91c8ed6434b727a8.pdf</x:v>
      </x:c>
      <x:c r="P75" s="25" t="str">
        <x:v>https://www.thedancecalendar.com/_files/ugd/bda0a7_0b705d757eb74aaf91c8ed6434b727a8.pdf</x:v>
      </x:c>
      <x:c r="Q75" s="23" t="str">
        <x:v>Current regional dance-calendar listing with a named brand and direct public email.</x:v>
      </x:c>
      <x:c r="R75" s="23" t="str">
        <x:v>Verified association list</x:v>
      </x:c>
      <x:c r="S75" s="24" t="n">
        <x:v>46239.666666666664</x:v>
      </x:c>
      <x:c r="T75" s="24"/>
      <x:c r="U75" s="24"/>
      <x:c r="V75" s="24"/>
      <x:c r="W75" s="23" t="str">
        <x:v>Personalize first outreach</x:v>
      </x:c>
      <x:c r="X75" s="23" t="str"/>
      <x:c r="Y75" s="23" t="str">
        <x:v>Unknown</x:v>
      </x:c>
      <x:c r="Z75" s="23" t="str">
        <x:v>No</x:v>
      </x:c>
      <x:c r="AA75" s="23" t="str">
        <x:v>City research rank 10. Public phone: 631-704-5092.</x:v>
      </x:c>
    </x:row>
    <x:row r="76" ht="40.5" customHeight="1">
      <x:c r="A76" s="23" t="str">
        <x:v>PHX-01</x:v>
      </x:c>
      <x:c r="B76" s="23" t="str">
        <x:v>Adam the Dancing Cowboy</x:v>
      </x:c>
      <x:c r="C76" s="23" t="str">
        <x:v>Adam Herbel</x:v>
      </x:c>
      <x:c r="D76" s="23" t="str">
        <x:v>Phoenix and Scottsdale</x:v>
      </x:c>
      <x:c r="E76" s="23" t="str">
        <x:v>AZ</x:v>
      </x:c>
      <x:c r="F76" s="23" t="str">
        <x:v>Independent instructor</x:v>
      </x:c>
      <x:c r="G76" s="23" t="str">
        <x:v>Country line dance instructor and DJ for private and corporate events</x:v>
      </x:c>
      <x:c r="H76" s="23" t="str">
        <x:v>P1</x:v>
      </x:c>
      <x:c r="I76" s="23" t="str">
        <x:v>Researched</x:v>
      </x:c>
      <x:c r="J76" s="23" t="str">
        <x:v>Email</x:v>
      </x:c>
      <x:c r="K76" s="23" t="str">
        <x:v>arizona@dancingcowboy.com</x:v>
      </x:c>
      <x:c r="L76" s="23" t="str">
        <x:v>Public business email</x:v>
      </x:c>
      <x:c r="M76" s="25" t="str">
        <x:v>https://www.instagram.com/dancingcowboy/</x:v>
      </x:c>
      <x:c r="N76" s="25" t="str"/>
      <x:c r="O76" s="25" t="str">
        <x:v>https://www.arizonacountrydj.com/</x:v>
      </x:c>
      <x:c r="P76" s="25" t="str">
        <x:v>https://www.arizonacountrydj.com/</x:v>
      </x:c>
      <x:c r="Q76" s="23" t="str">
        <x:v>Visible Arizona country dance instructor with more than 15 years of experience, media coverage, and major event clients.</x:v>
      </x:c>
      <x:c r="R76" s="23" t="str">
        <x:v>Verified official site</x:v>
      </x:c>
      <x:c r="S76" s="24" t="n">
        <x:v>46239.666666666664</x:v>
      </x:c>
      <x:c r="T76" s="24"/>
      <x:c r="U76" s="24"/>
      <x:c r="V76" s="24"/>
      <x:c r="W76" s="23" t="str">
        <x:v>Personalize first outreach</x:v>
      </x:c>
      <x:c r="X76" s="23" t="str"/>
      <x:c r="Y76" s="23" t="str">
        <x:v>Unknown</x:v>
      </x:c>
      <x:c r="Z76" s="23" t="str">
        <x:v>No</x:v>
      </x:c>
      <x:c r="AA76" s="23" t="str">
        <x:v>City research rank 1.</x:v>
      </x:c>
    </x:row>
    <x:row r="77" ht="40.5" customHeight="1">
      <x:c r="A77" s="23" t="str">
        <x:v>PHX-02</x:v>
      </x:c>
      <x:c r="B77" s="23" t="str">
        <x:v>Line Dance With Jackie AZ</x:v>
      </x:c>
      <x:c r="C77" s="23" t="str">
        <x:v>Jackie</x:v>
      </x:c>
      <x:c r="D77" s="23" t="str">
        <x:v>Phoenix and Scottsdale</x:v>
      </x:c>
      <x:c r="E77" s="23" t="str">
        <x:v>AZ</x:v>
      </x:c>
      <x:c r="F77" s="23" t="str">
        <x:v>Independent instructor</x:v>
      </x:c>
      <x:c r="G77" s="23" t="str">
        <x:v>Weddings, private parties, corporate events</x:v>
      </x:c>
      <x:c r="H77" s="23" t="str">
        <x:v>P1</x:v>
      </x:c>
      <x:c r="I77" s="23" t="str">
        <x:v>Researched</x:v>
      </x:c>
      <x:c r="J77" s="23" t="str">
        <x:v>Email</x:v>
      </x:c>
      <x:c r="K77" s="23" t="str">
        <x:v>kileyjj72@gmail.com</x:v>
      </x:c>
      <x:c r="L77" s="23" t="str">
        <x:v>Public business email</x:v>
      </x:c>
      <x:c r="M77" s="25" t="str">
        <x:v>https://www.instagram.com/jj_kiley/</x:v>
      </x:c>
      <x:c r="N77" s="25" t="str"/>
      <x:c r="O77" s="25" t="str">
        <x:v>https://www.linedancewithjackieaz.com/</x:v>
      </x:c>
      <x:c r="P77" s="25" t="str">
        <x:v>https://www.linedancewithjackieaz.com/</x:v>
      </x:c>
      <x:c r="Q77" s="23" t="str">
        <x:v>Current Phoenix-area instructor with event services spanning Scottsdale, Tempe, Mesa, Chandler, and Glendale.</x:v>
      </x:c>
      <x:c r="R77" s="23" t="str">
        <x:v>Verified official site</x:v>
      </x:c>
      <x:c r="S77" s="24" t="n">
        <x:v>46239.666666666664</x:v>
      </x:c>
      <x:c r="T77" s="24"/>
      <x:c r="U77" s="24"/>
      <x:c r="V77" s="24"/>
      <x:c r="W77" s="23" t="str">
        <x:v>Personalize first outreach</x:v>
      </x:c>
      <x:c r="X77" s="23" t="str"/>
      <x:c r="Y77" s="23" t="str">
        <x:v>Unknown</x:v>
      </x:c>
      <x:c r="Z77" s="23" t="str">
        <x:v>No</x:v>
      </x:c>
      <x:c r="AA77" s="23" t="str">
        <x:v>City research rank 2. Public professional first name used on the official site.</x:v>
      </x:c>
    </x:row>
    <x:row r="78" ht="40.5" customHeight="1">
      <x:c r="A78" s="23" t="str">
        <x:v>PHX-03</x:v>
      </x:c>
      <x:c r="B78" s="23" t="str">
        <x:v>Fatcat Ballroom</x:v>
      </x:c>
      <x:c r="C78" s="23" t="str">
        <x:v>Roy Johnson</x:v>
      </x:c>
      <x:c r="D78" s="23" t="str">
        <x:v>Phoenix and Scottsdale</x:v>
      </x:c>
      <x:c r="E78" s="23" t="str">
        <x:v>AZ</x:v>
      </x:c>
      <x:c r="F78" s="23" t="str">
        <x:v>Instructor team</x:v>
      </x:c>
      <x:c r="G78" s="23" t="str">
        <x:v>Country line dance, two-step, private lessons</x:v>
      </x:c>
      <x:c r="H78" s="23" t="str">
        <x:v>P1</x:v>
      </x:c>
      <x:c r="I78" s="23" t="str">
        <x:v>Researched</x:v>
      </x:c>
      <x:c r="J78" s="23" t="str">
        <x:v>Email</x:v>
      </x:c>
      <x:c r="K78" s="23" t="str">
        <x:v>hello@fatcatballroom.com</x:v>
      </x:c>
      <x:c r="L78" s="23" t="str">
        <x:v>Shared business email</x:v>
      </x:c>
      <x:c r="M78" s="25" t="str"/>
      <x:c r="N78" s="25" t="str"/>
      <x:c r="O78" s="25" t="str">
        <x:v>https://www.fatcatballroom.com/dance-instructor/sharon-and-roy</x:v>
      </x:c>
      <x:c r="P78" s="25" t="str">
        <x:v>https://www.fatcatballroom.com/dance-instructor/sharon-and-roy</x:v>
      </x:c>
      <x:c r="Q78" s="23" t="str">
        <x:v>Five-time UCWDC world champion teaching through a current Phoenix-area studio.</x:v>
      </x:c>
      <x:c r="R78" s="23" t="str">
        <x:v>Verified official site</x:v>
      </x:c>
      <x:c r="S78" s="24" t="n">
        <x:v>46239.666666666664</x:v>
      </x:c>
      <x:c r="T78" s="24"/>
      <x:c r="U78" s="24"/>
      <x:c r="V78" s="24"/>
      <x:c r="W78" s="23" t="str">
        <x:v>Personalize first outreach</x:v>
      </x:c>
      <x:c r="X78" s="23" t="str"/>
      <x:c r="Y78" s="23" t="str">
        <x:v>Unknown</x:v>
      </x:c>
      <x:c r="Z78" s="23" t="str">
        <x:v>No</x:v>
      </x:c>
      <x:c r="AA78" s="23" t="str">
        <x:v>City research rank 3.</x:v>
      </x:c>
    </x:row>
    <x:row r="79" ht="40.5" customHeight="1">
      <x:c r="A79" s="23" t="str">
        <x:v>PHX-04</x:v>
      </x:c>
      <x:c r="B79" s="23" t="str">
        <x:v>Fatcat Ballroom</x:v>
      </x:c>
      <x:c r="C79" s="23" t="str">
        <x:v>Sharon Johnson</x:v>
      </x:c>
      <x:c r="D79" s="23" t="str">
        <x:v>Phoenix and Scottsdale</x:v>
      </x:c>
      <x:c r="E79" s="23" t="str">
        <x:v>AZ</x:v>
      </x:c>
      <x:c r="F79" s="23" t="str">
        <x:v>Instructor team</x:v>
      </x:c>
      <x:c r="G79" s="23" t="str">
        <x:v>Country line dance, two-step, private lessons</x:v>
      </x:c>
      <x:c r="H79" s="23" t="str">
        <x:v>P2</x:v>
      </x:c>
      <x:c r="I79" s="23" t="str">
        <x:v>Researched</x:v>
      </x:c>
      <x:c r="J79" s="23" t="str">
        <x:v>Email</x:v>
      </x:c>
      <x:c r="K79" s="23" t="str">
        <x:v>hello@fatcatballroom.com</x:v>
      </x:c>
      <x:c r="L79" s="23" t="str">
        <x:v>Shared business email</x:v>
      </x:c>
      <x:c r="M79" s="25" t="str"/>
      <x:c r="N79" s="25" t="str"/>
      <x:c r="O79" s="25" t="str">
        <x:v>https://www.fatcatballroom.com/dance-instructor/sharon-and-roy</x:v>
      </x:c>
      <x:c r="P79" s="25" t="str">
        <x:v>https://www.fatcatballroom.com/dance-instructor/sharon-and-roy</x:v>
      </x:c>
      <x:c r="Q79" s="23" t="str">
        <x:v>Champion instructor and certified judge teaching through a current Phoenix-area studio.</x:v>
      </x:c>
      <x:c r="R79" s="23" t="str">
        <x:v>Verified official site</x:v>
      </x:c>
      <x:c r="S79" s="24" t="n">
        <x:v>46239.666666666664</x:v>
      </x:c>
      <x:c r="T79" s="24"/>
      <x:c r="U79" s="24"/>
      <x:c r="V79" s="24"/>
      <x:c r="W79" s="23" t="str">
        <x:v>Personalize first outreach</x:v>
      </x:c>
      <x:c r="X79" s="23" t="str"/>
      <x:c r="Y79" s="23" t="str">
        <x:v>Unknown</x:v>
      </x:c>
      <x:c r="Z79" s="23" t="str">
        <x:v>No</x:v>
      </x:c>
      <x:c r="AA79" s="23" t="str">
        <x:v>City research rank 4.</x:v>
      </x:c>
    </x:row>
    <x:row r="80" ht="40.5" customHeight="1">
      <x:c r="A80" s="23" t="str">
        <x:v>PHX-05</x:v>
      </x:c>
      <x:c r="B80" s="23" t="str">
        <x:v>Honky Tonk Heaven AZ</x:v>
      </x:c>
      <x:c r="C80" s="23" t="str">
        <x:v>Thomas</x:v>
      </x:c>
      <x:c r="D80" s="23" t="str">
        <x:v>Phoenix and Scottsdale</x:v>
      </x:c>
      <x:c r="E80" s="23" t="str">
        <x:v>AZ</x:v>
      </x:c>
      <x:c r="F80" s="23" t="str">
        <x:v>Instructor team</x:v>
      </x:c>
      <x:c r="G80" s="23" t="str">
        <x:v>Country line dance classes, events, community instruction</x:v>
      </x:c>
      <x:c r="H80" s="23" t="str">
        <x:v>P2</x:v>
      </x:c>
      <x:c r="I80" s="23" t="str">
        <x:v>Researched</x:v>
      </x:c>
      <x:c r="J80" s="23" t="str">
        <x:v>Email</x:v>
      </x:c>
      <x:c r="K80" s="23" t="str">
        <x:v>howdy@honkytonkheavenaz.com</x:v>
      </x:c>
      <x:c r="L80" s="23" t="str">
        <x:v>Shared business email</x:v>
      </x:c>
      <x:c r="M80" s="25" t="str"/>
      <x:c r="N80" s="25" t="str"/>
      <x:c r="O80" s="25" t="str">
        <x:v>https://www.honkytonkheavenaz.com/</x:v>
      </x:c>
      <x:c r="P80" s="25" t="str">
        <x:v>https://www.honkytonkheavenaz.com/about</x:v>
      </x:c>
      <x:c r="Q80" s="23" t="str">
        <x:v>Co-leads a current Phoenix-area teaching brand with more than a decade of country dance experience.</x:v>
      </x:c>
      <x:c r="R80" s="23" t="str">
        <x:v>Verified official site</x:v>
      </x:c>
      <x:c r="S80" s="24" t="n">
        <x:v>46239.666666666664</x:v>
      </x:c>
      <x:c r="T80" s="24"/>
      <x:c r="U80" s="24"/>
      <x:c r="V80" s="24"/>
      <x:c r="W80" s="23" t="str">
        <x:v>Personalize first outreach</x:v>
      </x:c>
      <x:c r="X80" s="23" t="str"/>
      <x:c r="Y80" s="23" t="str">
        <x:v>Unknown</x:v>
      </x:c>
      <x:c r="Z80" s="23" t="str">
        <x:v>No</x:v>
      </x:c>
      <x:c r="AA80" s="23" t="str">
        <x:v>City research rank 5. Public professional first name used on the official site.</x:v>
      </x:c>
    </x:row>
    <x:row r="81" ht="40.5" customHeight="1">
      <x:c r="A81" s="23" t="str">
        <x:v>PHX-06</x:v>
      </x:c>
      <x:c r="B81" s="23" t="str">
        <x:v>Honky Tonk Heaven AZ</x:v>
      </x:c>
      <x:c r="C81" s="23" t="str">
        <x:v>Kelzey</x:v>
      </x:c>
      <x:c r="D81" s="23" t="str">
        <x:v>Phoenix and Scottsdale</x:v>
      </x:c>
      <x:c r="E81" s="23" t="str">
        <x:v>AZ</x:v>
      </x:c>
      <x:c r="F81" s="23" t="str">
        <x:v>Instructor team</x:v>
      </x:c>
      <x:c r="G81" s="23" t="str">
        <x:v>Country line dance classes, events, community instruction</x:v>
      </x:c>
      <x:c r="H81" s="23" t="str">
        <x:v>P2</x:v>
      </x:c>
      <x:c r="I81" s="23" t="str">
        <x:v>Researched</x:v>
      </x:c>
      <x:c r="J81" s="23" t="str">
        <x:v>Email</x:v>
      </x:c>
      <x:c r="K81" s="23" t="str">
        <x:v>howdy@honkytonkheavenaz.com</x:v>
      </x:c>
      <x:c r="L81" s="23" t="str">
        <x:v>Shared business email</x:v>
      </x:c>
      <x:c r="M81" s="25" t="str"/>
      <x:c r="N81" s="25" t="str"/>
      <x:c r="O81" s="25" t="str">
        <x:v>https://www.honkytonkheavenaz.com/</x:v>
      </x:c>
      <x:c r="P81" s="25" t="str">
        <x:v>https://www.honkytonkheavenaz.com/about</x:v>
      </x:c>
      <x:c r="Q81" s="23" t="str">
        <x:v>Co-leads a current Phoenix-area teaching brand with public classes and events.</x:v>
      </x:c>
      <x:c r="R81" s="23" t="str">
        <x:v>Verified official site</x:v>
      </x:c>
      <x:c r="S81" s="24" t="n">
        <x:v>46239.666666666664</x:v>
      </x:c>
      <x:c r="T81" s="24"/>
      <x:c r="U81" s="24"/>
      <x:c r="V81" s="24"/>
      <x:c r="W81" s="23" t="str">
        <x:v>Personalize first outreach</x:v>
      </x:c>
      <x:c r="X81" s="23" t="str"/>
      <x:c r="Y81" s="23" t="str">
        <x:v>Unknown</x:v>
      </x:c>
      <x:c r="Z81" s="23" t="str">
        <x:v>No</x:v>
      </x:c>
      <x:c r="AA81" s="23" t="str">
        <x:v>City research rank 6. Public professional first name used on the official site.</x:v>
      </x:c>
    </x:row>
    <x:row r="82" ht="40.5" customHeight="1">
      <x:c r="A82" s="23" t="str">
        <x:v>PHX-07</x:v>
      </x:c>
      <x:c r="B82" s="23" t="str">
        <x:v>AZ 2-Step</x:v>
      </x:c>
      <x:c r="C82" s="23" t="str">
        <x:v>Maggie</x:v>
      </x:c>
      <x:c r="D82" s="23" t="str">
        <x:v>Phoenix and Scottsdale</x:v>
      </x:c>
      <x:c r="E82" s="23" t="str">
        <x:v>AZ</x:v>
      </x:c>
      <x:c r="F82" s="23" t="str">
        <x:v>Instructor team</x:v>
      </x:c>
      <x:c r="G82" s="23" t="str">
        <x:v>Country line dance and two-step classes</x:v>
      </x:c>
      <x:c r="H82" s="23" t="str">
        <x:v>P2</x:v>
      </x:c>
      <x:c r="I82" s="23" t="str">
        <x:v>Researched</x:v>
      </x:c>
      <x:c r="J82" s="23" t="str">
        <x:v>Email</x:v>
      </x:c>
      <x:c r="K82" s="23" t="str">
        <x:v>maggee@azdanceclub.org</x:v>
      </x:c>
      <x:c r="L82" s="23" t="str">
        <x:v>Shared business email</x:v>
      </x:c>
      <x:c r="M82" s="25" t="str"/>
      <x:c r="N82" s="25" t="str"/>
      <x:c r="O82" s="25" t="str">
        <x:v>https://azdanceclub.org/</x:v>
      </x:c>
      <x:c r="P82" s="25" t="str">
        <x:v>https://azdanceclub.org/</x:v>
      </x:c>
      <x:c r="Q82" s="23" t="str">
        <x:v>Owner and instructor of a current Phoenix country dance club.</x:v>
      </x:c>
      <x:c r="R82" s="23" t="str">
        <x:v>Verified official site</x:v>
      </x:c>
      <x:c r="S82" s="24" t="n">
        <x:v>46239.666666666664</x:v>
      </x:c>
      <x:c r="T82" s="24"/>
      <x:c r="U82" s="24"/>
      <x:c r="V82" s="24"/>
      <x:c r="W82" s="23" t="str">
        <x:v>Personalize first outreach</x:v>
      </x:c>
      <x:c r="X82" s="23" t="str"/>
      <x:c r="Y82" s="23" t="str">
        <x:v>Unknown</x:v>
      </x:c>
      <x:c r="Z82" s="23" t="str">
        <x:v>No</x:v>
      </x:c>
      <x:c r="AA82" s="23" t="str">
        <x:v>City research rank 7. Public professional first name used on the official site.</x:v>
      </x:c>
    </x:row>
    <x:row r="83" ht="40.5" customHeight="1">
      <x:c r="A83" s="23" t="str">
        <x:v>PHX-08</x:v>
      </x:c>
      <x:c r="B83" s="23" t="str">
        <x:v>AZ 2-Step</x:v>
      </x:c>
      <x:c r="C83" s="23" t="str">
        <x:v>Butch</x:v>
      </x:c>
      <x:c r="D83" s="23" t="str">
        <x:v>Phoenix and Scottsdale</x:v>
      </x:c>
      <x:c r="E83" s="23" t="str">
        <x:v>AZ</x:v>
      </x:c>
      <x:c r="F83" s="23" t="str">
        <x:v>Instructor team</x:v>
      </x:c>
      <x:c r="G83" s="23" t="str">
        <x:v>Country line dance and two-step classes</x:v>
      </x:c>
      <x:c r="H83" s="23" t="str">
        <x:v>P3</x:v>
      </x:c>
      <x:c r="I83" s="23" t="str">
        <x:v>Researched</x:v>
      </x:c>
      <x:c r="J83" s="23" t="str">
        <x:v>Email</x:v>
      </x:c>
      <x:c r="K83" s="23" t="str">
        <x:v>maggee@azdanceclub.org</x:v>
      </x:c>
      <x:c r="L83" s="23" t="str">
        <x:v>Shared business email</x:v>
      </x:c>
      <x:c r="M83" s="25" t="str"/>
      <x:c r="N83" s="25" t="str"/>
      <x:c r="O83" s="25" t="str">
        <x:v>https://azdanceclub.org/</x:v>
      </x:c>
      <x:c r="P83" s="25" t="str">
        <x:v>https://azdanceclub.org/</x:v>
      </x:c>
      <x:c r="Q83" s="23" t="str">
        <x:v>Current instructor at a Phoenix country dance club with recurring public programming.</x:v>
      </x:c>
      <x:c r="R83" s="23" t="str">
        <x:v>Verified official site</x:v>
      </x:c>
      <x:c r="S83" s="24" t="n">
        <x:v>46239.666666666664</x:v>
      </x:c>
      <x:c r="T83" s="24"/>
      <x:c r="U83" s="24"/>
      <x:c r="V83" s="24"/>
      <x:c r="W83" s="23" t="str">
        <x:v>Personalize first outreach</x:v>
      </x:c>
      <x:c r="X83" s="23" t="str"/>
      <x:c r="Y83" s="23" t="str">
        <x:v>Unknown</x:v>
      </x:c>
      <x:c r="Z83" s="23" t="str">
        <x:v>No</x:v>
      </x:c>
      <x:c r="AA83" s="23" t="str">
        <x:v>City research rank 8. Public professional first name used on the official site.</x:v>
      </x:c>
    </x:row>
    <x:row r="84" ht="40.5" customHeight="1">
      <x:c r="A84" s="23" t="str">
        <x:v>PHX-09</x:v>
      </x:c>
      <x:c r="B84" s="23" t="str">
        <x:v>Fatcat Ballroom</x:v>
      </x:c>
      <x:c r="C84" s="23" t="str">
        <x:v>Alison</x:v>
      </x:c>
      <x:c r="D84" s="23" t="str">
        <x:v>Phoenix and Scottsdale</x:v>
      </x:c>
      <x:c r="E84" s="23" t="str">
        <x:v>AZ</x:v>
      </x:c>
      <x:c r="F84" s="23" t="str">
        <x:v>Instructor team</x:v>
      </x:c>
      <x:c r="G84" s="23" t="str">
        <x:v>Weekly Phoenix line dance classes</x:v>
      </x:c>
      <x:c r="H84" s="23" t="str">
        <x:v>P3</x:v>
      </x:c>
      <x:c r="I84" s="23" t="str">
        <x:v>Researched</x:v>
      </x:c>
      <x:c r="J84" s="23" t="str">
        <x:v>Email</x:v>
      </x:c>
      <x:c r="K84" s="23" t="str">
        <x:v>hello@fatcatballroom.com</x:v>
      </x:c>
      <x:c r="L84" s="23" t="str">
        <x:v>Shared business email</x:v>
      </x:c>
      <x:c r="M84" s="25" t="str"/>
      <x:c r="N84" s="25" t="str"/>
      <x:c r="O84" s="25" t="str">
        <x:v>https://www.fatcatballroom.com/phoenix-dance-studio-adult-classes/line-dancing-fridays</x:v>
      </x:c>
      <x:c r="P84" s="25" t="str">
        <x:v>https://www.fatcatballroom.com/phoenix-dance-studio-adult-classes/line-dancing-fridays</x:v>
      </x:c>
      <x:c r="Q84" s="23" t="str">
        <x:v>Current Friday line dance instructor at a visible Phoenix-area studio.</x:v>
      </x:c>
      <x:c r="R84" s="23" t="str">
        <x:v>Verified official site</x:v>
      </x:c>
      <x:c r="S84" s="24" t="n">
        <x:v>46239.666666666664</x:v>
      </x:c>
      <x:c r="T84" s="24"/>
      <x:c r="U84" s="24"/>
      <x:c r="V84" s="24"/>
      <x:c r="W84" s="23" t="str">
        <x:v>Personalize first outreach</x:v>
      </x:c>
      <x:c r="X84" s="23" t="str"/>
      <x:c r="Y84" s="23" t="str">
        <x:v>Unknown</x:v>
      </x:c>
      <x:c r="Z84" s="23" t="str">
        <x:v>No</x:v>
      </x:c>
      <x:c r="AA84" s="23" t="str">
        <x:v>City research rank 9. Public professional first name used on the official site.</x:v>
      </x:c>
    </x:row>
    <x:row r="85" ht="40.5" customHeight="1">
      <x:c r="A85" s="23" t="str">
        <x:v>PHX-10</x:v>
      </x:c>
      <x:c r="B85" s="23" t="str">
        <x:v>Shall We Dance Phoenix</x:v>
      </x:c>
      <x:c r="C85" s="23" t="str">
        <x:v>Mona</x:v>
      </x:c>
      <x:c r="D85" s="23" t="str">
        <x:v>Phoenix and Scottsdale</x:v>
      </x:c>
      <x:c r="E85" s="23" t="str">
        <x:v>AZ</x:v>
      </x:c>
      <x:c r="F85" s="23" t="str">
        <x:v>Independent instructor</x:v>
      </x:c>
      <x:c r="G85" s="23" t="str">
        <x:v>Country line dance classes and events</x:v>
      </x:c>
      <x:c r="H85" s="23" t="str">
        <x:v>P3</x:v>
      </x:c>
      <x:c r="I85" s="23" t="str">
        <x:v>Researched</x:v>
      </x:c>
      <x:c r="J85" s="23" t="str">
        <x:v>Email</x:v>
      </x:c>
      <x:c r="K85" s="23" t="str">
        <x:v>mona@shallwedancephoenix.com</x:v>
      </x:c>
      <x:c r="L85" s="23" t="str">
        <x:v>Public business email</x:v>
      </x:c>
      <x:c r="M85" s="25" t="str"/>
      <x:c r="N85" s="25" t="str"/>
      <x:c r="O85" s="25" t="str">
        <x:v>https://shallwedancephoenix.com/</x:v>
      </x:c>
      <x:c r="P85" s="25" t="str">
        <x:v>https://shallwedancephoenix.com/</x:v>
      </x:c>
      <x:c r="Q85" s="23" t="str">
        <x:v>Phoenix dance business owner with recurring country classes and public event programming.</x:v>
      </x:c>
      <x:c r="R85" s="23" t="str">
        <x:v>Verified official site</x:v>
      </x:c>
      <x:c r="S85" s="24" t="n">
        <x:v>46239.666666666664</x:v>
      </x:c>
      <x:c r="T85" s="24"/>
      <x:c r="U85" s="24"/>
      <x:c r="V85" s="24"/>
      <x:c r="W85" s="23" t="str">
        <x:v>Personalize first outreach</x:v>
      </x:c>
      <x:c r="X85" s="23" t="str"/>
      <x:c r="Y85" s="23" t="str">
        <x:v>Unknown</x:v>
      </x:c>
      <x:c r="Z85" s="23" t="str">
        <x:v>No</x:v>
      </x:c>
      <x:c r="AA85" s="23" t="str">
        <x:v>City research rank 10. Public professional first name used on the official site.</x:v>
      </x:c>
    </x:row>
    <x:row r="86" ht="40.5" customHeight="1">
      <x:c r="A86" s="23" t="str">
        <x:v>ATL-01</x:v>
      </x:c>
      <x:c r="B86" s="23" t="str">
        <x:v>Trè Little Line Dance</x:v>
      </x:c>
      <x:c r="C86" s="23" t="str">
        <x:v>Trè Little</x:v>
      </x:c>
      <x:c r="D86" s="23" t="str">
        <x:v>Atlanta</x:v>
      </x:c>
      <x:c r="E86" s="23" t="str">
        <x:v>GA</x:v>
      </x:c>
      <x:c r="F86" s="23" t="str">
        <x:v>Independent instructor</x:v>
      </x:c>
      <x:c r="G86" s="23" t="str">
        <x:v>Viral choreography, workshops, creator content</x:v>
      </x:c>
      <x:c r="H86" s="23" t="str">
        <x:v>P1</x:v>
      </x:c>
      <x:c r="I86" s="23" t="str">
        <x:v>Researched</x:v>
      </x:c>
      <x:c r="J86" s="23" t="str">
        <x:v>Instagram</x:v>
      </x:c>
      <x:c r="K86" s="23" t="str"/>
      <x:c r="L86" s="23" t="str">
        <x:v>Not found</x:v>
      </x:c>
      <x:c r="M86" s="25" t="str">
        <x:v>https://www.instagram.com/yepthatsme_tre/</x:v>
      </x:c>
      <x:c r="N86" s="25" t="str"/>
      <x:c r="O86" s="25" t="str">
        <x:v>https://www.instagram.com/yepthatsme_tre/</x:v>
      </x:c>
      <x:c r="P86" s="25" t="str">
        <x:v>https://apnews.com/article/1498fd0b9b778813f5827885d554c43e</x:v>
      </x:c>
      <x:c r="Q86" s="23" t="str">
        <x:v>Atlanta creator of the viral Boots on the Ground dance, with millions of views and national teaching demand.</x:v>
      </x:c>
      <x:c r="R86" s="23" t="str">
        <x:v>Verified public social</x:v>
      </x:c>
      <x:c r="S86" s="24" t="n">
        <x:v>46239.666666666664</x:v>
      </x:c>
      <x:c r="T86" s="24"/>
      <x:c r="U86" s="24"/>
      <x:c r="V86" s="24"/>
      <x:c r="W86" s="23" t="str">
        <x:v>Personalize first outreach</x:v>
      </x:c>
      <x:c r="X86" s="23" t="str"/>
      <x:c r="Y86" s="23" t="str">
        <x:v>Unknown</x:v>
      </x:c>
      <x:c r="Z86" s="23" t="str">
        <x:v>No</x:v>
      </x:c>
      <x:c r="AA86" s="23" t="str">
        <x:v>City research rank 1.</x:v>
      </x:c>
    </x:row>
    <x:row r="87" ht="40.5" customHeight="1">
      <x:c r="A87" s="23" t="str">
        <x:v>ATL-02</x:v>
      </x:c>
      <x:c r="B87" s="23" t="str">
        <x:v>Smooth Moves With Auntie Amber</x:v>
      </x:c>
      <x:c r="C87" s="23" t="str">
        <x:v>Dr. Amber Howard Mitchell</x:v>
      </x:c>
      <x:c r="D87" s="23" t="str">
        <x:v>Atlanta</x:v>
      </x:c>
      <x:c r="E87" s="23" t="str">
        <x:v>GA</x:v>
      </x:c>
      <x:c r="F87" s="23" t="str">
        <x:v>Independent instructor</x:v>
      </x:c>
      <x:c r="G87" s="23" t="str">
        <x:v>Soul line dance instruction and creator content</x:v>
      </x:c>
      <x:c r="H87" s="23" t="str">
        <x:v>P1</x:v>
      </x:c>
      <x:c r="I87" s="23" t="str">
        <x:v>Researched</x:v>
      </x:c>
      <x:c r="J87" s="23" t="str">
        <x:v>Instagram</x:v>
      </x:c>
      <x:c r="K87" s="23" t="str"/>
      <x:c r="L87" s="23" t="str">
        <x:v>Not found</x:v>
      </x:c>
      <x:c r="M87" s="25" t="str">
        <x:v>https://www.instagram.com/smoothmoveswithauntieamber/</x:v>
      </x:c>
      <x:c r="N87" s="25" t="str"/>
      <x:c r="O87" s="25" t="str">
        <x:v>https://www.instagram.com/smoothmoveswithauntieamber/</x:v>
      </x:c>
      <x:c r="P87" s="25" t="str">
        <x:v>https://influencers.club/top-influencers/line-dances/</x:v>
      </x:c>
      <x:c r="Q87" s="23" t="str">
        <x:v>Atlanta instructor with a substantial public social audience and viral line dance visibility.</x:v>
      </x:c>
      <x:c r="R87" s="23" t="str">
        <x:v>Verified public social</x:v>
      </x:c>
      <x:c r="S87" s="24" t="n">
        <x:v>46239.666666666664</x:v>
      </x:c>
      <x:c r="T87" s="24"/>
      <x:c r="U87" s="24"/>
      <x:c r="V87" s="24"/>
      <x:c r="W87" s="23" t="str">
        <x:v>Personalize first outreach</x:v>
      </x:c>
      <x:c r="X87" s="23" t="str"/>
      <x:c r="Y87" s="23" t="str">
        <x:v>Unknown</x:v>
      </x:c>
      <x:c r="Z87" s="23" t="str">
        <x:v>No</x:v>
      </x:c>
      <x:c r="AA87" s="23" t="str">
        <x:v>City research rank 2.</x:v>
      </x:c>
    </x:row>
    <x:row r="88" ht="40.5" customHeight="1">
      <x:c r="A88" s="23" t="str">
        <x:v>ATL-03</x:v>
      </x:c>
      <x:c r="B88" s="23" t="str">
        <x:v>Scooter Lee</x:v>
      </x:c>
      <x:c r="C88" s="23" t="str">
        <x:v>Scooter Lee</x:v>
      </x:c>
      <x:c r="D88" s="23" t="str">
        <x:v>Atlanta</x:v>
      </x:c>
      <x:c r="E88" s="23" t="str">
        <x:v>GA</x:v>
      </x:c>
      <x:c r="F88" s="23" t="str">
        <x:v>Independent instructor</x:v>
      </x:c>
      <x:c r="G88" s="23" t="str">
        <x:v>Line dance choreography, instruction, international events</x:v>
      </x:c>
      <x:c r="H88" s="23" t="str">
        <x:v>P1</x:v>
      </x:c>
      <x:c r="I88" s="23" t="str">
        <x:v>Researched</x:v>
      </x:c>
      <x:c r="J88" s="23" t="str">
        <x:v>Email</x:v>
      </x:c>
      <x:c r="K88" s="23" t="str">
        <x:v>info@scooterlee.com</x:v>
      </x:c>
      <x:c r="L88" s="23" t="str">
        <x:v>Public business email</x:v>
      </x:c>
      <x:c r="M88" s="25" t="str"/>
      <x:c r="N88" s="25" t="str"/>
      <x:c r="O88" s="25" t="str">
        <x:v>https://www.scooterlee.com/line-dance-step-sheets/</x:v>
      </x:c>
      <x:c r="P88" s="25" t="str">
        <x:v>https://www.scooterlee.com/line-dance-step-sheets/</x:v>
      </x:c>
      <x:c r="Q88" s="23" t="str">
        <x:v>Internationally recognized Atlanta-area line dance figure with a long-running public teaching catalog.</x:v>
      </x:c>
      <x:c r="R88" s="23" t="str">
        <x:v>Verified official site</x:v>
      </x:c>
      <x:c r="S88" s="24" t="n">
        <x:v>46239.666666666664</x:v>
      </x:c>
      <x:c r="T88" s="24"/>
      <x:c r="U88" s="24"/>
      <x:c r="V88" s="24"/>
      <x:c r="W88" s="23" t="str">
        <x:v>Personalize first outreach</x:v>
      </x:c>
      <x:c r="X88" s="23" t="str"/>
      <x:c r="Y88" s="23" t="str">
        <x:v>Unknown</x:v>
      </x:c>
      <x:c r="Z88" s="23" t="str">
        <x:v>No</x:v>
      </x:c>
      <x:c r="AA88" s="23" t="str">
        <x:v>City research rank 3.</x:v>
      </x:c>
    </x:row>
    <x:row r="89" ht="40.5" customHeight="1">
      <x:c r="A89" s="23" t="str">
        <x:v>ATL-04</x:v>
      </x:c>
      <x:c r="B89" s="23" t="str">
        <x:v>Step In Time Productions</x:v>
      </x:c>
      <x:c r="C89" s="23" t="str">
        <x:v>Rose Haven</x:v>
      </x:c>
      <x:c r="D89" s="23" t="str">
        <x:v>Atlanta</x:v>
      </x:c>
      <x:c r="E89" s="23" t="str">
        <x:v>GA</x:v>
      </x:c>
      <x:c r="F89" s="23" t="str">
        <x:v>Independent instructor</x:v>
      </x:c>
      <x:c r="G89" s="23" t="str">
        <x:v>Corporate, private, church, and community programs</x:v>
      </x:c>
      <x:c r="H89" s="23" t="str">
        <x:v>P2</x:v>
      </x:c>
      <x:c r="I89" s="23" t="str">
        <x:v>Researched</x:v>
      </x:c>
      <x:c r="J89" s="23" t="str">
        <x:v>Email</x:v>
      </x:c>
      <x:c r="K89" s="23" t="str">
        <x:v>rose@atlantalinedance.com</x:v>
      </x:c>
      <x:c r="L89" s="23" t="str">
        <x:v>Public business email</x:v>
      </x:c>
      <x:c r="M89" s="25" t="str"/>
      <x:c r="N89" s="25" t="str"/>
      <x:c r="O89" s="25" t="str">
        <x:v>https://www.atlantalinedance.com/</x:v>
      </x:c>
      <x:c r="P89" s="25" t="str">
        <x:v>https://www.atlantalinedance.com/</x:v>
      </x:c>
      <x:c r="Q89" s="23" t="str">
        <x:v>Atlanta instructor teaching locally since 1992 with major-venue and corporate experience.</x:v>
      </x:c>
      <x:c r="R89" s="23" t="str">
        <x:v>Verified official site</x:v>
      </x:c>
      <x:c r="S89" s="24" t="n">
        <x:v>46239.666666666664</x:v>
      </x:c>
      <x:c r="T89" s="24"/>
      <x:c r="U89" s="24"/>
      <x:c r="V89" s="24"/>
      <x:c r="W89" s="23" t="str">
        <x:v>Personalize first outreach</x:v>
      </x:c>
      <x:c r="X89" s="23" t="str"/>
      <x:c r="Y89" s="23" t="str">
        <x:v>Unknown</x:v>
      </x:c>
      <x:c r="Z89" s="23" t="str">
        <x:v>No</x:v>
      </x:c>
      <x:c r="AA89" s="23" t="str">
        <x:v>City research rank 4.</x:v>
      </x:c>
    </x:row>
    <x:row r="90" ht="40.5" customHeight="1">
      <x:c r="A90" s="23" t="str">
        <x:v>ATL-05</x:v>
      </x:c>
      <x:c r="B90" s="23" t="str">
        <x:v>Atlanta Linedancing</x:v>
      </x:c>
      <x:c r="C90" s="23" t="str">
        <x:v>Matt Miller</x:v>
      </x:c>
      <x:c r="D90" s="23" t="str">
        <x:v>Atlanta</x:v>
      </x:c>
      <x:c r="E90" s="23" t="str">
        <x:v>GA</x:v>
      </x:c>
      <x:c r="F90" s="23" t="str">
        <x:v>Independent instructor</x:v>
      </x:c>
      <x:c r="G90" s="23" t="str">
        <x:v>Private events and public classes</x:v>
      </x:c>
      <x:c r="H90" s="23" t="str">
        <x:v>P2</x:v>
      </x:c>
      <x:c r="I90" s="23" t="str">
        <x:v>Researched</x:v>
      </x:c>
      <x:c r="J90" s="23" t="str">
        <x:v>Contact form</x:v>
      </x:c>
      <x:c r="K90" s="23" t="str"/>
      <x:c r="L90" s="23" t="str">
        <x:v>Not found</x:v>
      </x:c>
      <x:c r="M90" s="25" t="str"/>
      <x:c r="N90" s="25" t="str"/>
      <x:c r="O90" s="25" t="str">
        <x:v>https://atlantalinedancing.com/</x:v>
      </x:c>
      <x:c r="P90" s="25" t="str">
        <x:v>https://visitmariettaga.com/event/line-dancing/</x:v>
      </x:c>
      <x:c r="Q90" s="23" t="str">
        <x:v>Long-time Atlanta dancer and current instructor with active venue and community programming.</x:v>
      </x:c>
      <x:c r="R90" s="23" t="str">
        <x:v>Verified official site</x:v>
      </x:c>
      <x:c r="S90" s="24" t="n">
        <x:v>46239.666666666664</x:v>
      </x:c>
      <x:c r="T90" s="24"/>
      <x:c r="U90" s="24"/>
      <x:c r="V90" s="24"/>
      <x:c r="W90" s="23" t="str">
        <x:v>Personalize first outreach</x:v>
      </x:c>
      <x:c r="X90" s="23" t="str"/>
      <x:c r="Y90" s="23" t="str">
        <x:v>Unknown</x:v>
      </x:c>
      <x:c r="Z90" s="23" t="str">
        <x:v>No</x:v>
      </x:c>
      <x:c r="AA90" s="23" t="str">
        <x:v>City research rank 5.</x:v>
      </x:c>
    </x:row>
    <x:row r="91" ht="40.5" customHeight="1">
      <x:c r="A91" s="23" t="str">
        <x:v>ATL-06</x:v>
      </x:c>
      <x:c r="B91" s="23" t="str">
        <x:v>LJ Fitness Services</x:v>
      </x:c>
      <x:c r="C91" s="23" t="str">
        <x:v>Judy King (Ladeee J)</x:v>
      </x:c>
      <x:c r="D91" s="23" t="str">
        <x:v>Atlanta</x:v>
      </x:c>
      <x:c r="E91" s="23" t="str">
        <x:v>GA</x:v>
      </x:c>
      <x:c r="F91" s="23" t="str">
        <x:v>Independent instructor</x:v>
      </x:c>
      <x:c r="G91" s="23" t="str">
        <x:v>Soul line dancing, private and corporate events</x:v>
      </x:c>
      <x:c r="H91" s="23" t="str">
        <x:v>P2</x:v>
      </x:c>
      <x:c r="I91" s="23" t="str">
        <x:v>Researched</x:v>
      </x:c>
      <x:c r="J91" s="23" t="str">
        <x:v>Email</x:v>
      </x:c>
      <x:c r="K91" s="23" t="str">
        <x:v>Info@LJFitnessSvc.com</x:v>
      </x:c>
      <x:c r="L91" s="23" t="str">
        <x:v>Public business email</x:v>
      </x:c>
      <x:c r="M91" s="25" t="str"/>
      <x:c r="N91" s="25" t="str"/>
      <x:c r="O91" s="25" t="str">
        <x:v>https://www.ljfitnesssvc.com/</x:v>
      </x:c>
      <x:c r="P91" s="25" t="str">
        <x:v>https://www.ljfitnesssvc.com/</x:v>
      </x:c>
      <x:c r="Q91" s="23" t="str">
        <x:v>Current Metro Atlanta Soul Steppaz instructor with a differentiated wellness and events brand.</x:v>
      </x:c>
      <x:c r="R91" s="23" t="str">
        <x:v>Verified official site</x:v>
      </x:c>
      <x:c r="S91" s="24" t="n">
        <x:v>46239.666666666664</x:v>
      </x:c>
      <x:c r="T91" s="24"/>
      <x:c r="U91" s="24"/>
      <x:c r="V91" s="24"/>
      <x:c r="W91" s="23" t="str">
        <x:v>Personalize first outreach</x:v>
      </x:c>
      <x:c r="X91" s="23" t="str"/>
      <x:c r="Y91" s="23" t="str">
        <x:v>Unknown</x:v>
      </x:c>
      <x:c r="Z91" s="23" t="str">
        <x:v>No</x:v>
      </x:c>
      <x:c r="AA91" s="23" t="str">
        <x:v>City research rank 6.</x:v>
      </x:c>
    </x:row>
    <x:row r="92" ht="40.5" customHeight="1">
      <x:c r="A92" s="23" t="str">
        <x:v>ATL-07</x:v>
      </x:c>
      <x:c r="B92" s="23" t="str">
        <x:v>Atlanta Country Nights</x:v>
      </x:c>
      <x:c r="C92" s="23" t="str">
        <x:v>Leslie Thompson</x:v>
      </x:c>
      <x:c r="D92" s="23" t="str">
        <x:v>Atlanta</x:v>
      </x:c>
      <x:c r="E92" s="23" t="str">
        <x:v>GA</x:v>
      </x:c>
      <x:c r="F92" s="23" t="str">
        <x:v>Independent instructor</x:v>
      </x:c>
      <x:c r="G92" s="23" t="str">
        <x:v>Country line dance instruction and regional events</x:v>
      </x:c>
      <x:c r="H92" s="23" t="str">
        <x:v>P2</x:v>
      </x:c>
      <x:c r="I92" s="23" t="str">
        <x:v>Researched</x:v>
      </x:c>
      <x:c r="J92" s="23" t="str">
        <x:v>Referral</x:v>
      </x:c>
      <x:c r="K92" s="23" t="str"/>
      <x:c r="L92" s="23" t="str">
        <x:v>Not found</x:v>
      </x:c>
      <x:c r="M92" s="25" t="str"/>
      <x:c r="N92" s="25" t="str"/>
      <x:c r="O92" s="25" t="str">
        <x:v>https://www.georgia-country.com/crystalpeach.php</x:v>
      </x:c>
      <x:c r="P92" s="25" t="str">
        <x:v>https://www.georgia-country.com/crystalpeach.php</x:v>
      </x:c>
      <x:c r="Q92" s="23" t="str">
        <x:v>Main Atlanta Country Nights instructor with roughly 27 years of teaching experience.</x:v>
      </x:c>
      <x:c r="R92" s="23" t="str">
        <x:v>Venue or event route</x:v>
      </x:c>
      <x:c r="S92" s="24" t="n">
        <x:v>46239.666666666664</x:v>
      </x:c>
      <x:c r="T92" s="24"/>
      <x:c r="U92" s="24"/>
      <x:c r="V92" s="24"/>
      <x:c r="W92" s="23" t="str">
        <x:v>Request current contact through Atlanta Country Nights</x:v>
      </x:c>
      <x:c r="X92" s="23" t="str"/>
      <x:c r="Y92" s="23" t="str">
        <x:v>Unknown</x:v>
      </x:c>
      <x:c r="Z92" s="23" t="str">
        <x:v>No</x:v>
      </x:c>
      <x:c r="AA92" s="23" t="str">
        <x:v>City research rank 7.</x:v>
      </x:c>
    </x:row>
    <x:row r="93" ht="40.5" customHeight="1">
      <x:c r="A93" s="23" t="str">
        <x:v>ATL-08</x:v>
      </x:c>
      <x:c r="B93" s="23" t="str">
        <x:v>Line Dancing With Michelle Neese</x:v>
      </x:c>
      <x:c r="C93" s="23" t="str">
        <x:v>Michelle Neese</x:v>
      </x:c>
      <x:c r="D93" s="23" t="str">
        <x:v>Atlanta</x:v>
      </x:c>
      <x:c r="E93" s="23" t="str">
        <x:v>GA</x:v>
      </x:c>
      <x:c r="F93" s="23" t="str">
        <x:v>Independent instructor</x:v>
      </x:c>
      <x:c r="G93" s="23" t="str">
        <x:v>Line dance classes, workshops, events</x:v>
      </x:c>
      <x:c r="H93" s="23" t="str">
        <x:v>P3</x:v>
      </x:c>
      <x:c r="I93" s="23" t="str">
        <x:v>Researched</x:v>
      </x:c>
      <x:c r="J93" s="23" t="str">
        <x:v>Email</x:v>
      </x:c>
      <x:c r="K93" s="23" t="str">
        <x:v>mmneese@gmail.com</x:v>
      </x:c>
      <x:c r="L93" s="23" t="str">
        <x:v>Public business email</x:v>
      </x:c>
      <x:c r="M93" s="25" t="str"/>
      <x:c r="N93" s="25" t="str"/>
      <x:c r="O93" s="25" t="str">
        <x:v>https://www.linedancingwithmichelleneese.com/</x:v>
      </x:c>
      <x:c r="P93" s="25" t="str">
        <x:v>https://www.linedancingwithmichelleneese.com/</x:v>
      </x:c>
      <x:c r="Q93" s="23" t="str">
        <x:v>Atlanta-area instructor with a dedicated public teaching site and direct email.</x:v>
      </x:c>
      <x:c r="R93" s="23" t="str">
        <x:v>Verified official site</x:v>
      </x:c>
      <x:c r="S93" s="24" t="n">
        <x:v>46239.666666666664</x:v>
      </x:c>
      <x:c r="T93" s="24"/>
      <x:c r="U93" s="24"/>
      <x:c r="V93" s="24"/>
      <x:c r="W93" s="23" t="str">
        <x:v>Personalize first outreach</x:v>
      </x:c>
      <x:c r="X93" s="23" t="str"/>
      <x:c r="Y93" s="23" t="str">
        <x:v>Unknown</x:v>
      </x:c>
      <x:c r="Z93" s="23" t="str">
        <x:v>No</x:v>
      </x:c>
      <x:c r="AA93" s="23" t="str">
        <x:v>City research rank 8.</x:v>
      </x:c>
    </x:row>
    <x:row r="94" ht="40.5" customHeight="1">
      <x:c r="A94" s="23" t="str">
        <x:v>ATL-09</x:v>
      </x:c>
      <x:c r="B94" s="23" t="str">
        <x:v>Coach Frankie 2.0</x:v>
      </x:c>
      <x:c r="C94" s="23" t="str">
        <x:v>Frankeisha Hill</x:v>
      </x:c>
      <x:c r="D94" s="23" t="str">
        <x:v>Atlanta</x:v>
      </x:c>
      <x:c r="E94" s="23" t="str">
        <x:v>GA</x:v>
      </x:c>
      <x:c r="F94" s="23" t="str">
        <x:v>Independent instructor</x:v>
      </x:c>
      <x:c r="G94" s="23" t="str">
        <x:v>Private events, fitness, line dance instruction</x:v>
      </x:c>
      <x:c r="H94" s="23" t="str">
        <x:v>P3</x:v>
      </x:c>
      <x:c r="I94" s="23" t="str">
        <x:v>Researched</x:v>
      </x:c>
      <x:c r="J94" s="23" t="str">
        <x:v>Instagram</x:v>
      </x:c>
      <x:c r="K94" s="23" t="str"/>
      <x:c r="L94" s="23" t="str">
        <x:v>Not found</x:v>
      </x:c>
      <x:c r="M94" s="25" t="str">
        <x:v>https://www.instagram.com/coach_frankie2.0/</x:v>
      </x:c>
      <x:c r="N94" s="25" t="str"/>
      <x:c r="O94" s="25" t="str">
        <x:v>https://www.instagram.com/coach_frankie2.0/</x:v>
      </x:c>
      <x:c r="P94" s="25" t="str">
        <x:v>https://voyageatl.com/interview/daily-inspiration-meet-frankeisha-hill/</x:v>
      </x:c>
      <x:c r="Q94" s="23" t="str">
        <x:v>Atlanta instructor and event operator profiled for local community and private-event work.</x:v>
      </x:c>
      <x:c r="R94" s="23" t="str">
        <x:v>Verified public social</x:v>
      </x:c>
      <x:c r="S94" s="24" t="n">
        <x:v>46239.666666666664</x:v>
      </x:c>
      <x:c r="T94" s="24"/>
      <x:c r="U94" s="24"/>
      <x:c r="V94" s="24"/>
      <x:c r="W94" s="23" t="str">
        <x:v>Personalize first outreach</x:v>
      </x:c>
      <x:c r="X94" s="23" t="str"/>
      <x:c r="Y94" s="23" t="str">
        <x:v>Unknown</x:v>
      </x:c>
      <x:c r="Z94" s="23" t="str">
        <x:v>No</x:v>
      </x:c>
      <x:c r="AA94" s="23" t="str">
        <x:v>City research rank 9.</x:v>
      </x:c>
    </x:row>
    <x:row r="95" ht="40.5" customHeight="1">
      <x:c r="A95" s="23" t="str">
        <x:v>ATL-10</x:v>
      </x:c>
      <x:c r="B95" s="23" t="str">
        <x:v>Atlanta Beltline Line Dance</x:v>
      </x:c>
      <x:c r="C95" s="23" t="str">
        <x:v>Dawn Peck</x:v>
      </x:c>
      <x:c r="D95" s="23" t="str">
        <x:v>Atlanta</x:v>
      </x:c>
      <x:c r="E95" s="23" t="str">
        <x:v>GA</x:v>
      </x:c>
      <x:c r="F95" s="23" t="str">
        <x:v>Independent instructor</x:v>
      </x:c>
      <x:c r="G95" s="23" t="str">
        <x:v>Public community line dance instruction</x:v>
      </x:c>
      <x:c r="H95" s="23" t="str">
        <x:v>P3</x:v>
      </x:c>
      <x:c r="I95" s="23" t="str">
        <x:v>Researched</x:v>
      </x:c>
      <x:c r="J95" s="23" t="str">
        <x:v>Referral</x:v>
      </x:c>
      <x:c r="K95" s="23" t="str"/>
      <x:c r="L95" s="23" t="str">
        <x:v>Not found</x:v>
      </x:c>
      <x:c r="M95" s="25" t="str"/>
      <x:c r="N95" s="25" t="str"/>
      <x:c r="O95" s="25" t="str">
        <x:v>https://beltline.org/events/6a4f0e642f531dcbcfd76931/</x:v>
      </x:c>
      <x:c r="P95" s="25" t="str">
        <x:v>https://beltline.org/events/6a4f0e642f531dcbcfd76931/</x:v>
      </x:c>
      <x:c r="Q95" s="23" t="str">
        <x:v>Current 2026 instructor on Atlanta Beltline public programming.</x:v>
      </x:c>
      <x:c r="R95" s="23" t="str">
        <x:v>Venue or event route</x:v>
      </x:c>
      <x:c r="S95" s="24" t="n">
        <x:v>46239.666666666664</x:v>
      </x:c>
      <x:c r="T95" s="24"/>
      <x:c r="U95" s="24"/>
      <x:c r="V95" s="24"/>
      <x:c r="W95" s="23" t="str">
        <x:v>Request current contact through Atlanta Beltline organizer</x:v>
      </x:c>
      <x:c r="X95" s="23" t="str"/>
      <x:c r="Y95" s="23" t="str">
        <x:v>Unknown</x:v>
      </x:c>
      <x:c r="Z95" s="23" t="str">
        <x:v>No</x:v>
      </x:c>
      <x:c r="AA95" s="23" t="str">
        <x:v>City research rank 10.</x:v>
      </x:c>
    </x:row>
    <x:row r="96" ht="40.5" customHeight="1">
      <x:c r="A96" s="23" t="str">
        <x:v>CLT-01</x:v>
      </x:c>
      <x:c r="B96" s="23" t="str">
        <x:v>Coyote Joe's Dance Lessons</x:v>
      </x:c>
      <x:c r="C96" s="23" t="str">
        <x:v>Mitchell Mullis</x:v>
      </x:c>
      <x:c r="D96" s="23" t="str">
        <x:v>Charlotte</x:v>
      </x:c>
      <x:c r="E96" s="23" t="str">
        <x:v>NC</x:v>
      </x:c>
      <x:c r="F96" s="23" t="str">
        <x:v>Venue-based instructor lead</x:v>
      </x:c>
      <x:c r="G96" s="23" t="str">
        <x:v>Public line dance lessons at Coyote Joe's</x:v>
      </x:c>
      <x:c r="H96" s="23" t="str">
        <x:v>P1</x:v>
      </x:c>
      <x:c r="I96" s="23" t="str">
        <x:v>Researched</x:v>
      </x:c>
      <x:c r="J96" s="23" t="str">
        <x:v>Venue referral</x:v>
      </x:c>
      <x:c r="K96" s="23" t="str"/>
      <x:c r="L96" s="23" t="str">
        <x:v>Not found</x:v>
      </x:c>
      <x:c r="M96" s="25" t="str"/>
      <x:c r="N96" s="25" t="str"/>
      <x:c r="O96" s="25" t="str">
        <x:v>https://coyote-joes.com/about</x:v>
      </x:c>
      <x:c r="P96" s="25" t="str">
        <x:v>https://coyote-joes.com/about</x:v>
      </x:c>
      <x:c r="Q96" s="23" t="str">
        <x:v>Long-running instructor at Charlotte's highest-profile country dance venue, with more than 100 lessons documented publicly.</x:v>
      </x:c>
      <x:c r="R96" s="23" t="str">
        <x:v>Venue or event route</x:v>
      </x:c>
      <x:c r="S96" s="24" t="n">
        <x:v>46239.666666666664</x:v>
      </x:c>
      <x:c r="T96" s="24"/>
      <x:c r="U96" s="24"/>
      <x:c r="V96" s="24"/>
      <x:c r="W96" s="23" t="str">
        <x:v>Personalize first outreach</x:v>
      </x:c>
      <x:c r="X96" s="23" t="str"/>
      <x:c r="Y96" s="23" t="str">
        <x:v>Unknown</x:v>
      </x:c>
      <x:c r="Z96" s="23" t="str">
        <x:v>No</x:v>
      </x:c>
      <x:c r="AA96" s="23" t="str">
        <x:v>City research rank 1. Venue phone: 704-399-4946.</x:v>
      </x:c>
    </x:row>
    <x:row r="97" ht="40.5" customHeight="1">
      <x:c r="A97" s="23" t="str">
        <x:v>CLT-02</x:v>
      </x:c>
      <x:c r="B97" s="23" t="str">
        <x:v>Coyote Joe's and Bring the Fun</x:v>
      </x:c>
      <x:c r="C97" s="23" t="str">
        <x:v>Angie Mullis</x:v>
      </x:c>
      <x:c r="D97" s="23" t="str">
        <x:v>Charlotte</x:v>
      </x:c>
      <x:c r="E97" s="23" t="str">
        <x:v>NC</x:v>
      </x:c>
      <x:c r="F97" s="23" t="str">
        <x:v>Instructor team</x:v>
      </x:c>
      <x:c r="G97" s="23" t="str">
        <x:v>Country line dance lessons and regional events</x:v>
      </x:c>
      <x:c r="H97" s="23" t="str">
        <x:v>P1</x:v>
      </x:c>
      <x:c r="I97" s="23" t="str">
        <x:v>Researched</x:v>
      </x:c>
      <x:c r="J97" s="23" t="str">
        <x:v>Email</x:v>
      </x:c>
      <x:c r="K97" s="23" t="str">
        <x:v>info@bringthefun.dance</x:v>
      </x:c>
      <x:c r="L97" s="23" t="str">
        <x:v>Shared business email</x:v>
      </x:c>
      <x:c r="M97" s="25" t="str"/>
      <x:c r="N97" s="25" t="str"/>
      <x:c r="O97" s="25" t="str">
        <x:v>https://bringthefun.kitlabs.us/</x:v>
      </x:c>
      <x:c r="P97" s="25" t="str">
        <x:v>https://www.wideopencountry.com/country-line-dancing/</x:v>
      </x:c>
      <x:c r="Q97" s="23" t="str">
        <x:v>Long-running Charlotte instructor with major-venue recognition and regional event teaching.</x:v>
      </x:c>
      <x:c r="R97" s="23" t="str">
        <x:v>Verified official site</x:v>
      </x:c>
      <x:c r="S97" s="24" t="n">
        <x:v>46239.666666666664</x:v>
      </x:c>
      <x:c r="T97" s="24"/>
      <x:c r="U97" s="24"/>
      <x:c r="V97" s="24"/>
      <x:c r="W97" s="23" t="str">
        <x:v>Personalize first outreach</x:v>
      </x:c>
      <x:c r="X97" s="23" t="str"/>
      <x:c r="Y97" s="23" t="str">
        <x:v>Unknown</x:v>
      </x:c>
      <x:c r="Z97" s="23" t="str">
        <x:v>No</x:v>
      </x:c>
      <x:c r="AA97" s="23" t="str">
        <x:v>City research rank 2.</x:v>
      </x:c>
    </x:row>
    <x:row r="98" ht="40.5" customHeight="1">
      <x:c r="A98" s="23" t="str">
        <x:v>CLT-03</x:v>
      </x:c>
      <x:c r="B98" s="23" t="str">
        <x:v>Bring the Fun</x:v>
      </x:c>
      <x:c r="C98" s="23" t="str">
        <x:v>Will Craig</x:v>
      </x:c>
      <x:c r="D98" s="23" t="str">
        <x:v>Charlotte</x:v>
      </x:c>
      <x:c r="E98" s="23" t="str">
        <x:v>NC</x:v>
      </x:c>
      <x:c r="F98" s="23" t="str">
        <x:v>Independent instructor</x:v>
      </x:c>
      <x:c r="G98" s="23" t="str">
        <x:v>Line dance choreography, lessons, regional events</x:v>
      </x:c>
      <x:c r="H98" s="23" t="str">
        <x:v>P1</x:v>
      </x:c>
      <x:c r="I98" s="23" t="str">
        <x:v>Researched</x:v>
      </x:c>
      <x:c r="J98" s="23" t="str">
        <x:v>Email</x:v>
      </x:c>
      <x:c r="K98" s="23" t="str">
        <x:v>info@bringthefun.dance</x:v>
      </x:c>
      <x:c r="L98" s="23" t="str">
        <x:v>Shared business email</x:v>
      </x:c>
      <x:c r="M98" s="25" t="str"/>
      <x:c r="N98" s="25" t="str"/>
      <x:c r="O98" s="25" t="str">
        <x:v>https://bringthefun.kitlabs.us/</x:v>
      </x:c>
      <x:c r="P98" s="25" t="str">
        <x:v>https://bringthefun.kitlabs.us/</x:v>
      </x:c>
      <x:c r="Q98" s="23" t="str">
        <x:v>Charlotte-area choreographer and instructor with Coyote Joe's and regional event visibility.</x:v>
      </x:c>
      <x:c r="R98" s="23" t="str">
        <x:v>Verified official site</x:v>
      </x:c>
      <x:c r="S98" s="24" t="n">
        <x:v>46239.666666666664</x:v>
      </x:c>
      <x:c r="T98" s="24"/>
      <x:c r="U98" s="24"/>
      <x:c r="V98" s="24"/>
      <x:c r="W98" s="23" t="str">
        <x:v>Personalize first outreach</x:v>
      </x:c>
      <x:c r="X98" s="23" t="str"/>
      <x:c r="Y98" s="23" t="str">
        <x:v>Unknown</x:v>
      </x:c>
      <x:c r="Z98" s="23" t="str">
        <x:v>No</x:v>
      </x:c>
      <x:c r="AA98" s="23" t="str">
        <x:v>City research rank 3.</x:v>
      </x:c>
    </x:row>
    <x:row r="99" ht="40.5" customHeight="1">
      <x:c r="A99" s="23" t="str">
        <x:v>CLT-04</x:v>
      </x:c>
      <x:c r="B99" s="23" t="str">
        <x:v>Live Love Line</x:v>
      </x:c>
      <x:c r="C99" s="23" t="str">
        <x:v>Donna Statt</x:v>
      </x:c>
      <x:c r="D99" s="23" t="str">
        <x:v>Charlotte</x:v>
      </x:c>
      <x:c r="E99" s="23" t="str">
        <x:v>NC</x:v>
      </x:c>
      <x:c r="F99" s="23" t="str">
        <x:v>Instructor team</x:v>
      </x:c>
      <x:c r="G99" s="23" t="str">
        <x:v>Charlotte and Huntersville line dance events</x:v>
      </x:c>
      <x:c r="H99" s="23" t="str">
        <x:v>P2</x:v>
      </x:c>
      <x:c r="I99" s="23" t="str">
        <x:v>Researched</x:v>
      </x:c>
      <x:c r="J99" s="23" t="str">
        <x:v>Email</x:v>
      </x:c>
      <x:c r="K99" s="23" t="str">
        <x:v>cstatt@liveloveline.com</x:v>
      </x:c>
      <x:c r="L99" s="23" t="str">
        <x:v>Shared business email</x:v>
      </x:c>
      <x:c r="M99" s="25" t="str"/>
      <x:c r="N99" s="25" t="str"/>
      <x:c r="O99" s="25" t="str">
        <x:v>https://liveloveline.com/donna-and-craig/dancing-with-donna-and-craig</x:v>
      </x:c>
      <x:c r="P99" s="25" t="str">
        <x:v>https://liveloveline.com/donna-and-craig/dancing-with-donna-and-craig</x:v>
      </x:c>
      <x:c r="Q99" s="23" t="str">
        <x:v>Charlotte-area event instructor with more than 20 years of teaching experience.</x:v>
      </x:c>
      <x:c r="R99" s="23" t="str">
        <x:v>Verified official site</x:v>
      </x:c>
      <x:c r="S99" s="24" t="n">
        <x:v>46239.666666666664</x:v>
      </x:c>
      <x:c r="T99" s="24"/>
      <x:c r="U99" s="24"/>
      <x:c r="V99" s="24"/>
      <x:c r="W99" s="23" t="str">
        <x:v>Personalize first outreach</x:v>
      </x:c>
      <x:c r="X99" s="23" t="str"/>
      <x:c r="Y99" s="23" t="str">
        <x:v>Unknown</x:v>
      </x:c>
      <x:c r="Z99" s="23" t="str">
        <x:v>No</x:v>
      </x:c>
      <x:c r="AA99" s="23" t="str">
        <x:v>City research rank 4.</x:v>
      </x:c>
    </x:row>
    <x:row r="100" ht="40.5" customHeight="1">
      <x:c r="A100" s="23" t="str">
        <x:v>CLT-05</x:v>
      </x:c>
      <x:c r="B100" s="23" t="str">
        <x:v>Live Love Line</x:v>
      </x:c>
      <x:c r="C100" s="23" t="str">
        <x:v>Craig Statt</x:v>
      </x:c>
      <x:c r="D100" s="23" t="str">
        <x:v>Charlotte</x:v>
      </x:c>
      <x:c r="E100" s="23" t="str">
        <x:v>NC</x:v>
      </x:c>
      <x:c r="F100" s="23" t="str">
        <x:v>Instructor team</x:v>
      </x:c>
      <x:c r="G100" s="23" t="str">
        <x:v>Charlotte and Huntersville line dance events</x:v>
      </x:c>
      <x:c r="H100" s="23" t="str">
        <x:v>P2</x:v>
      </x:c>
      <x:c r="I100" s="23" t="str">
        <x:v>Researched</x:v>
      </x:c>
      <x:c r="J100" s="23" t="str">
        <x:v>Email</x:v>
      </x:c>
      <x:c r="K100" s="23" t="str">
        <x:v>cstatt@liveloveline.com</x:v>
      </x:c>
      <x:c r="L100" s="23" t="str">
        <x:v>Shared business email</x:v>
      </x:c>
      <x:c r="M100" s="25" t="str"/>
      <x:c r="N100" s="25" t="str"/>
      <x:c r="O100" s="25" t="str">
        <x:v>https://liveloveline.com/donna-and-craig/dancing-with-donna-and-craig</x:v>
      </x:c>
      <x:c r="P100" s="25" t="str">
        <x:v>https://liveloveline.com/donna-and-craig/dancing-with-donna-and-craig</x:v>
      </x:c>
      <x:c r="Q100" s="23" t="str">
        <x:v>Charlotte-area instructor and event director with more than 15 years of experience.</x:v>
      </x:c>
      <x:c r="R100" s="23" t="str">
        <x:v>Verified official site</x:v>
      </x:c>
      <x:c r="S100" s="24" t="n">
        <x:v>46239.666666666664</x:v>
      </x:c>
      <x:c r="T100" s="24"/>
      <x:c r="U100" s="24"/>
      <x:c r="V100" s="24"/>
      <x:c r="W100" s="23" t="str">
        <x:v>Personalize first outreach</x:v>
      </x:c>
      <x:c r="X100" s="23" t="str"/>
      <x:c r="Y100" s="23" t="str">
        <x:v>Unknown</x:v>
      </x:c>
      <x:c r="Z100" s="23" t="str">
        <x:v>No</x:v>
      </x:c>
      <x:c r="AA100" s="23" t="str">
        <x:v>City research rank 5.</x:v>
      </x:c>
    </x:row>
    <x:row r="101" ht="40.5" customHeight="1">
      <x:c r="A101" s="23" t="str">
        <x:v>CLT-06</x:v>
      </x:c>
      <x:c r="B101" s="23" t="str">
        <x:v>Line Dancing With Geraldine</x:v>
      </x:c>
      <x:c r="C101" s="23" t="str">
        <x:v>Geraldine</x:v>
      </x:c>
      <x:c r="D101" s="23" t="str">
        <x:v>Charlotte</x:v>
      </x:c>
      <x:c r="E101" s="23" t="str">
        <x:v>NC</x:v>
      </x:c>
      <x:c r="F101" s="23" t="str">
        <x:v>Independent instructor</x:v>
      </x:c>
      <x:c r="G101" s="23" t="str">
        <x:v>Soul and trail line dance classes, private sessions, events</x:v>
      </x:c>
      <x:c r="H101" s="23" t="str">
        <x:v>P2</x:v>
      </x:c>
      <x:c r="I101" s="23" t="str">
        <x:v>Researched</x:v>
      </x:c>
      <x:c r="J101" s="23" t="str">
        <x:v>Email</x:v>
      </x:c>
      <x:c r="K101" s="23" t="str">
        <x:v>linedancingwithgeraldine@gmail.com</x:v>
      </x:c>
      <x:c r="L101" s="23" t="str">
        <x:v>Public business email</x:v>
      </x:c>
      <x:c r="M101" s="25" t="str"/>
      <x:c r="N101" s="25" t="str"/>
      <x:c r="O101" s="25" t="str">
        <x:v>https://linedancingwithgeraldine.com/</x:v>
      </x:c>
      <x:c r="P101" s="25" t="str">
        <x:v>https://linedancingwithgeraldine.com/</x:v>
      </x:c>
      <x:c r="Q101" s="23" t="str">
        <x:v>Current Charlotte instructor with direct group-booking language, email, and phone.</x:v>
      </x:c>
      <x:c r="R101" s="23" t="str">
        <x:v>Verified official site</x:v>
      </x:c>
      <x:c r="S101" s="24" t="n">
        <x:v>46239.666666666664</x:v>
      </x:c>
      <x:c r="T101" s="24"/>
      <x:c r="U101" s="24"/>
      <x:c r="V101" s="24"/>
      <x:c r="W101" s="23" t="str">
        <x:v>Personalize first outreach</x:v>
      </x:c>
      <x:c r="X101" s="23" t="str"/>
      <x:c r="Y101" s="23" t="str">
        <x:v>Unknown</x:v>
      </x:c>
      <x:c r="Z101" s="23" t="str">
        <x:v>No</x:v>
      </x:c>
      <x:c r="AA101" s="23" t="str">
        <x:v>City research rank 6. Public phone: 980-224-0656. Public professional first name used on the official site.</x:v>
      </x:c>
    </x:row>
    <x:row r="102" ht="40.5" customHeight="1">
      <x:c r="A102" s="23" t="str">
        <x:v>CLT-07</x:v>
      </x:c>
      <x:c r="B102" s="23" t="str">
        <x:v>BluSkyy Entertainment</x:v>
      </x:c>
      <x:c r="C102" s="23" t="str">
        <x:v>Letasha</x:v>
      </x:c>
      <x:c r="D102" s="23" t="str">
        <x:v>Charlotte</x:v>
      </x:c>
      <x:c r="E102" s="23" t="str">
        <x:v>NC</x:v>
      </x:c>
      <x:c r="F102" s="23" t="str">
        <x:v>Independent instructor</x:v>
      </x:c>
      <x:c r="G102" s="23" t="str">
        <x:v>Private, corporate, community classes and events</x:v>
      </x:c>
      <x:c r="H102" s="23" t="str">
        <x:v>P2</x:v>
      </x:c>
      <x:c r="I102" s="23" t="str">
        <x:v>Researched</x:v>
      </x:c>
      <x:c r="J102" s="23" t="str">
        <x:v>Email</x:v>
      </x:c>
      <x:c r="K102" s="23" t="str">
        <x:v>bluskyyent@gmail.com</x:v>
      </x:c>
      <x:c r="L102" s="23" t="str">
        <x:v>Public business email</x:v>
      </x:c>
      <x:c r="M102" s="25" t="str"/>
      <x:c r="N102" s="25" t="str"/>
      <x:c r="O102" s="25" t="str">
        <x:v>https://www.bluskyyentertainment.com/</x:v>
      </x:c>
      <x:c r="P102" s="25" t="str">
        <x:v>https://www.eventbrite.com/e/2026-tuesday-line-dance-class-wletasha-tickets-1979776651258</x:v>
      </x:c>
      <x:c r="Q102" s="23" t="str">
        <x:v>Current 2026 Charlotte instructor and entertainer with weekly programming and direct booking contacts.</x:v>
      </x:c>
      <x:c r="R102" s="23" t="str">
        <x:v>Verified official site</x:v>
      </x:c>
      <x:c r="S102" s="24" t="n">
        <x:v>46239.666666666664</x:v>
      </x:c>
      <x:c r="T102" s="24"/>
      <x:c r="U102" s="24"/>
      <x:c r="V102" s="24"/>
      <x:c r="W102" s="23" t="str">
        <x:v>Personalize first outreach</x:v>
      </x:c>
      <x:c r="X102" s="23" t="str"/>
      <x:c r="Y102" s="23" t="str">
        <x:v>Unknown</x:v>
      </x:c>
      <x:c r="Z102" s="23" t="str">
        <x:v>No</x:v>
      </x:c>
      <x:c r="AA102" s="23" t="str">
        <x:v>City research rank 7. Public phone: 980-202-2264. Public professional first name used on current listings.</x:v>
      </x:c>
    </x:row>
    <x:row r="103" ht="40.5" customHeight="1">
      <x:c r="A103" s="23" t="str">
        <x:v>CLT-08</x:v>
      </x:c>
      <x:c r="B103" s="23" t="str">
        <x:v>The Lynn's Dance Club</x:v>
      </x:c>
      <x:c r="C103" s="23" t="str">
        <x:v>Kat Scott</x:v>
      </x:c>
      <x:c r="D103" s="23" t="str">
        <x:v>Charlotte</x:v>
      </x:c>
      <x:c r="E103" s="23" t="str">
        <x:v>NC</x:v>
      </x:c>
      <x:c r="F103" s="23" t="str">
        <x:v>Instructor team</x:v>
      </x:c>
      <x:c r="G103" s="23" t="str">
        <x:v>Recurring Charlotte line dance classes</x:v>
      </x:c>
      <x:c r="H103" s="23" t="str">
        <x:v>P3</x:v>
      </x:c>
      <x:c r="I103" s="23" t="str">
        <x:v>Researched</x:v>
      </x:c>
      <x:c r="J103" s="23" t="str">
        <x:v>Email</x:v>
      </x:c>
      <x:c r="K103" s="23" t="str">
        <x:v>thelynnsdanceclub@gmail.com</x:v>
      </x:c>
      <x:c r="L103" s="23" t="str">
        <x:v>Shared business email</x:v>
      </x:c>
      <x:c r="M103" s="25" t="str"/>
      <x:c r="N103" s="25" t="str"/>
      <x:c r="O103" s="25" t="str">
        <x:v>https://www.thelynnsdanceclub.com/</x:v>
      </x:c>
      <x:c r="P103" s="25" t="str">
        <x:v>https://www.thelynnsdanceclub.com/</x:v>
      </x:c>
      <x:c r="Q103" s="23" t="str">
        <x:v>Current Charlotte instructor with recurring public classes through an established local club.</x:v>
      </x:c>
      <x:c r="R103" s="23" t="str">
        <x:v>Verified official site</x:v>
      </x:c>
      <x:c r="S103" s="24" t="n">
        <x:v>46239.666666666664</x:v>
      </x:c>
      <x:c r="T103" s="24"/>
      <x:c r="U103" s="24"/>
      <x:c r="V103" s="24"/>
      <x:c r="W103" s="23" t="str">
        <x:v>Personalize first outreach</x:v>
      </x:c>
      <x:c r="X103" s="23" t="str"/>
      <x:c r="Y103" s="23" t="str">
        <x:v>Unknown</x:v>
      </x:c>
      <x:c r="Z103" s="23" t="str">
        <x:v>No</x:v>
      </x:c>
      <x:c r="AA103" s="23" t="str">
        <x:v>City research rank 8.</x:v>
      </x:c>
    </x:row>
    <x:row r="104" ht="40.5" customHeight="1">
      <x:c r="A104" s="23" t="str">
        <x:v>CLT-09</x:v>
      </x:c>
      <x:c r="B104" s="23" t="str">
        <x:v>Purple Charlotte Steppers Club</x:v>
      </x:c>
      <x:c r="C104" s="23" t="str">
        <x:v>Demond Carter</x:v>
      </x:c>
      <x:c r="D104" s="23" t="str">
        <x:v>Charlotte</x:v>
      </x:c>
      <x:c r="E104" s="23" t="str">
        <x:v>NC</x:v>
      </x:c>
      <x:c r="F104" s="23" t="str">
        <x:v>Independent instructor</x:v>
      </x:c>
      <x:c r="G104" s="23" t="str">
        <x:v>Soul line dance, steppin', community events</x:v>
      </x:c>
      <x:c r="H104" s="23" t="str">
        <x:v>P3</x:v>
      </x:c>
      <x:c r="I104" s="23" t="str">
        <x:v>Researched</x:v>
      </x:c>
      <x:c r="J104" s="23" t="str">
        <x:v>Email</x:v>
      </x:c>
      <x:c r="K104" s="23" t="str">
        <x:v>purplecharlotteinfo@gmail.com</x:v>
      </x:c>
      <x:c r="L104" s="23" t="str">
        <x:v>Public business email</x:v>
      </x:c>
      <x:c r="M104" s="25" t="str">
        <x:v>https://www.instagram.com/purplecharlottesteppersclub/</x:v>
      </x:c>
      <x:c r="N104" s="25" t="str"/>
      <x:c r="O104" s="25" t="str">
        <x:v>https://www.purplecharlotte.com/</x:v>
      </x:c>
      <x:c r="P104" s="25" t="str">
        <x:v>https://www.purplecharlotte.com/</x:v>
      </x:c>
      <x:c r="Q104" s="23" t="str">
        <x:v>Founder of a Charlotte dance organization operating since 2004 and reporting service to more than 12,000 people.</x:v>
      </x:c>
      <x:c r="R104" s="23" t="str">
        <x:v>Verified official site</x:v>
      </x:c>
      <x:c r="S104" s="24" t="n">
        <x:v>46239.666666666664</x:v>
      </x:c>
      <x:c r="T104" s="24"/>
      <x:c r="U104" s="24"/>
      <x:c r="V104" s="24"/>
      <x:c r="W104" s="23" t="str">
        <x:v>Personalize first outreach</x:v>
      </x:c>
      <x:c r="X104" s="23" t="str"/>
      <x:c r="Y104" s="23" t="str">
        <x:v>Unknown</x:v>
      </x:c>
      <x:c r="Z104" s="23" t="str">
        <x:v>No</x:v>
      </x:c>
      <x:c r="AA104" s="23" t="str">
        <x:v>City research rank 9.</x:v>
      </x:c>
    </x:row>
    <x:row r="105" ht="40.5" customHeight="1">
      <x:c r="A105" s="23" t="str">
        <x:v>CLT-10</x:v>
      </x:c>
      <x:c r="B105" s="23" t="str">
        <x:v>Dancing On The Go NC</x:v>
      </x:c>
      <x:c r="C105" s="23" t="str">
        <x:v>Courtney Jant</x:v>
      </x:c>
      <x:c r="D105" s="23" t="str">
        <x:v>Charlotte</x:v>
      </x:c>
      <x:c r="E105" s="23" t="str">
        <x:v>NC</x:v>
      </x:c>
      <x:c r="F105" s="23" t="str">
        <x:v>Independent instructor</x:v>
      </x:c>
      <x:c r="G105" s="23" t="str">
        <x:v>Line dance instruction, choreography, social events</x:v>
      </x:c>
      <x:c r="H105" s="23" t="str">
        <x:v>P3</x:v>
      </x:c>
      <x:c r="I105" s="23" t="str">
        <x:v>Researched</x:v>
      </x:c>
      <x:c r="J105" s="23" t="str">
        <x:v>Email</x:v>
      </x:c>
      <x:c r="K105" s="23" t="str">
        <x:v>dancingonthegonc@gmail.com</x:v>
      </x:c>
      <x:c r="L105" s="23" t="str">
        <x:v>Public business email</x:v>
      </x:c>
      <x:c r="M105" s="25" t="str"/>
      <x:c r="N105" s="25" t="str"/>
      <x:c r="O105" s="25" t="str">
        <x:v>https://www.dancingonthegonc.com/</x:v>
      </x:c>
      <x:c r="P105" s="25" t="str">
        <x:v>https://www.meetup.com/dancing-on-the-go/</x:v>
      </x:c>
      <x:c r="Q105" s="23" t="str">
        <x:v>Charlotte-area instructor and choreographer leading a public Meetup community of more than 1,000 members.</x:v>
      </x:c>
      <x:c r="R105" s="23" t="str">
        <x:v>Verified official site</x:v>
      </x:c>
      <x:c r="S105" s="24" t="n">
        <x:v>46239.666666666664</x:v>
      </x:c>
      <x:c r="T105" s="24"/>
      <x:c r="U105" s="24"/>
      <x:c r="V105" s="24"/>
      <x:c r="W105" s="23" t="str">
        <x:v>Personalize first outreach</x:v>
      </x:c>
      <x:c r="X105" s="23" t="str"/>
      <x:c r="Y105" s="23" t="str">
        <x:v>Unknown</x:v>
      </x:c>
      <x:c r="Z105" s="23" t="str">
        <x:v>No</x:v>
      </x:c>
      <x:c r="AA105" s="23" t="str">
        <x:v>City research rank 10. Public phone: 980-785-3646.</x:v>
      </x:c>
    </x:row>
    <x:row r="106" ht="40.5" customHeight="1">
      <x:c r="A106" s="23" t="str">
        <x:v>LAS-01</x:v>
      </x:c>
      <x:c r="B106" s="23" t="str">
        <x:v>Stoney's Rockin' Country</x:v>
      </x:c>
      <x:c r="C106" s="23" t="str">
        <x:v>Amanda Bower</x:v>
      </x:c>
      <x:c r="D106" s="23" t="str">
        <x:v>Las Vegas</x:v>
      </x:c>
      <x:c r="E106" s="23" t="str">
        <x:v>NV</x:v>
      </x:c>
      <x:c r="F106" s="23" t="str">
        <x:v>Venue-based instructor lead</x:v>
      </x:c>
      <x:c r="G106" s="23" t="str">
        <x:v>High-volume venue line dance lessons</x:v>
      </x:c>
      <x:c r="H106" s="23" t="str">
        <x:v>P1</x:v>
      </x:c>
      <x:c r="I106" s="23" t="str">
        <x:v>Researched</x:v>
      </x:c>
      <x:c r="J106" s="23" t="str">
        <x:v>Email</x:v>
      </x:c>
      <x:c r="K106" s="23" t="str">
        <x:v>info@stoneys.com</x:v>
      </x:c>
      <x:c r="L106" s="23" t="str">
        <x:v>Shared venue email</x:v>
      </x:c>
      <x:c r="M106" s="25" t="str">
        <x:v>https://www.instagram.com/stoneysrockincountry/</x:v>
      </x:c>
      <x:c r="N106" s="25" t="str"/>
      <x:c r="O106" s="25" t="str">
        <x:v>https://stoneysrockincountry.com/dance-lessons/</x:v>
      </x:c>
      <x:c r="P106" s="25" t="str">
        <x:v>https://stoneysrockincountry.com/dance-lessons/</x:v>
      </x:c>
      <x:c r="Q106" s="23" t="str">
        <x:v>Current named lesson leader at one of Las Vegas's most visible country venues.</x:v>
      </x:c>
      <x:c r="R106" s="23" t="str">
        <x:v>Venue or event route</x:v>
      </x:c>
      <x:c r="S106" s="24" t="n">
        <x:v>46239.666666666664</x:v>
      </x:c>
      <x:c r="T106" s="24"/>
      <x:c r="U106" s="24"/>
      <x:c r="V106" s="24"/>
      <x:c r="W106" s="23" t="str">
        <x:v>Personalize first outreach</x:v>
      </x:c>
      <x:c r="X106" s="23" t="str"/>
      <x:c r="Y106" s="23" t="str">
        <x:v>Unknown</x:v>
      </x:c>
      <x:c r="Z106" s="23" t="str">
        <x:v>No</x:v>
      </x:c>
      <x:c r="AA106" s="23" t="str">
        <x:v>City research rank 1.</x:v>
      </x:c>
    </x:row>
    <x:row r="107" ht="40.5" customHeight="1">
      <x:c r="A107" s="23" t="str">
        <x:v>LAS-02</x:v>
      </x:c>
      <x:c r="B107" s="23" t="str">
        <x:v>Country Crossroads Dance</x:v>
      </x:c>
      <x:c r="C107" s="23" t="str">
        <x:v>Brad Austin</x:v>
      </x:c>
      <x:c r="D107" s="23" t="str">
        <x:v>Las Vegas</x:v>
      </x:c>
      <x:c r="E107" s="23" t="str">
        <x:v>NV</x:v>
      </x:c>
      <x:c r="F107" s="23" t="str">
        <x:v>Instructor team</x:v>
      </x:c>
      <x:c r="G107" s="23" t="str">
        <x:v>Country line dance, swing, two-step, private lessons</x:v>
      </x:c>
      <x:c r="H107" s="23" t="str">
        <x:v>P1</x:v>
      </x:c>
      <x:c r="I107" s="23" t="str">
        <x:v>Researched</x:v>
      </x:c>
      <x:c r="J107" s="23" t="str">
        <x:v>Email</x:v>
      </x:c>
      <x:c r="K107" s="23" t="str">
        <x:v>info@countrycrossroads.dance</x:v>
      </x:c>
      <x:c r="L107" s="23" t="str">
        <x:v>Shared business email</x:v>
      </x:c>
      <x:c r="M107" s="25" t="str">
        <x:v>https://www.instagram.com/vegas_dancer_brad/</x:v>
      </x:c>
      <x:c r="N107" s="25" t="str"/>
      <x:c r="O107" s="25" t="str">
        <x:v>https://www.countrycrossroads.dance/about</x:v>
      </x:c>
      <x:c r="P107" s="25" t="str">
        <x:v>https://www.countrycrossroads.dance/about</x:v>
      </x:c>
      <x:c r="Q107" s="23" t="str">
        <x:v>Owner and lead instructor of a current Las Vegas country dance business.</x:v>
      </x:c>
      <x:c r="R107" s="23" t="str">
        <x:v>Verified official site</x:v>
      </x:c>
      <x:c r="S107" s="24" t="n">
        <x:v>46239.666666666664</x:v>
      </x:c>
      <x:c r="T107" s="24"/>
      <x:c r="U107" s="24"/>
      <x:c r="V107" s="24"/>
      <x:c r="W107" s="23" t="str">
        <x:v>Personalize first outreach</x:v>
      </x:c>
      <x:c r="X107" s="23" t="str"/>
      <x:c r="Y107" s="23" t="str">
        <x:v>Unknown</x:v>
      </x:c>
      <x:c r="Z107" s="23" t="str">
        <x:v>No</x:v>
      </x:c>
      <x:c r="AA107" s="23" t="str">
        <x:v>City research rank 2.</x:v>
      </x:c>
    </x:row>
    <x:row r="108" ht="40.5" customHeight="1">
      <x:c r="A108" s="23" t="str">
        <x:v>LAS-03</x:v>
      </x:c>
      <x:c r="B108" s="23" t="str">
        <x:v>Country Crossroads Dance</x:v>
      </x:c>
      <x:c r="C108" s="23" t="str">
        <x:v>Spirit Imbrogno</x:v>
      </x:c>
      <x:c r="D108" s="23" t="str">
        <x:v>Las Vegas</x:v>
      </x:c>
      <x:c r="E108" s="23" t="str">
        <x:v>NV</x:v>
      </x:c>
      <x:c r="F108" s="23" t="str">
        <x:v>Instructor team</x:v>
      </x:c>
      <x:c r="G108" s="23" t="str">
        <x:v>Country line dance, swing, two-step, private lessons</x:v>
      </x:c>
      <x:c r="H108" s="23" t="str">
        <x:v>P1</x:v>
      </x:c>
      <x:c r="I108" s="23" t="str">
        <x:v>Researched</x:v>
      </x:c>
      <x:c r="J108" s="23" t="str">
        <x:v>Email</x:v>
      </x:c>
      <x:c r="K108" s="23" t="str">
        <x:v>info@countrycrossroads.dance</x:v>
      </x:c>
      <x:c r="L108" s="23" t="str">
        <x:v>Shared business email</x:v>
      </x:c>
      <x:c r="M108" s="25" t="str">
        <x:v>https://www.instagram.com/spiritimj/</x:v>
      </x:c>
      <x:c r="N108" s="25" t="str"/>
      <x:c r="O108" s="25" t="str">
        <x:v>https://www.countrycrossroads.dance/about</x:v>
      </x:c>
      <x:c r="P108" s="25" t="str">
        <x:v>https://www.countrycrossroads.dance/about</x:v>
      </x:c>
      <x:c r="Q108" s="23" t="str">
        <x:v>Current instructor at a dedicated Las Vegas country dance business with public social presence.</x:v>
      </x:c>
      <x:c r="R108" s="23" t="str">
        <x:v>Verified official site</x:v>
      </x:c>
      <x:c r="S108" s="24" t="n">
        <x:v>46239.666666666664</x:v>
      </x:c>
      <x:c r="T108" s="24"/>
      <x:c r="U108" s="24"/>
      <x:c r="V108" s="24"/>
      <x:c r="W108" s="23" t="str">
        <x:v>Personalize first outreach</x:v>
      </x:c>
      <x:c r="X108" s="23" t="str"/>
      <x:c r="Y108" s="23" t="str">
        <x:v>Unknown</x:v>
      </x:c>
      <x:c r="Z108" s="23" t="str">
        <x:v>No</x:v>
      </x:c>
      <x:c r="AA108" s="23" t="str">
        <x:v>City research rank 3.</x:v>
      </x:c>
    </x:row>
    <x:row r="109" ht="40.5" customHeight="1">
      <x:c r="A109" s="23" t="str">
        <x:v>LAS-04</x:v>
      </x:c>
      <x:c r="B109" s="23" t="str">
        <x:v>Vegas Dance Explosion</x:v>
      </x:c>
      <x:c r="C109" s="23" t="str">
        <x:v>Jackie Miranda</x:v>
      </x:c>
      <x:c r="D109" s="23" t="str">
        <x:v>Las Vegas</x:v>
      </x:c>
      <x:c r="E109" s="23" t="str">
        <x:v>NV</x:v>
      </x:c>
      <x:c r="F109" s="23" t="str">
        <x:v>Instructor team</x:v>
      </x:c>
      <x:c r="G109" s="23" t="str">
        <x:v>Large convention instruction, choreography, event production</x:v>
      </x:c>
      <x:c r="H109" s="23" t="str">
        <x:v>P2</x:v>
      </x:c>
      <x:c r="I109" s="23" t="str">
        <x:v>Researched</x:v>
      </x:c>
      <x:c r="J109" s="23" t="str">
        <x:v>Email</x:v>
      </x:c>
      <x:c r="K109" s="23" t="str">
        <x:v>contact@vegasdanceexplosion.com</x:v>
      </x:c>
      <x:c r="L109" s="23" t="str">
        <x:v>Shared event email</x:v>
      </x:c>
      <x:c r="M109" s="25" t="str"/>
      <x:c r="N109" s="25" t="str"/>
      <x:c r="O109" s="25" t="str">
        <x:v>https://www.vegasdanceexplosion.com/</x:v>
      </x:c>
      <x:c r="P109" s="25" t="str">
        <x:v>https://www.vegasdanceexplosion.com/</x:v>
      </x:c>
      <x:c r="Q109" s="23" t="str">
        <x:v>Co-producer and instructor at one of the best-known Las Vegas line dance conventions, active in 2026.</x:v>
      </x:c>
      <x:c r="R109" s="23" t="str">
        <x:v>Verified official site</x:v>
      </x:c>
      <x:c r="S109" s="24" t="n">
        <x:v>46239.666666666664</x:v>
      </x:c>
      <x:c r="T109" s="24"/>
      <x:c r="U109" s="24"/>
      <x:c r="V109" s="24"/>
      <x:c r="W109" s="23" t="str">
        <x:v>Personalize first outreach</x:v>
      </x:c>
      <x:c r="X109" s="23" t="str"/>
      <x:c r="Y109" s="23" t="str">
        <x:v>Unknown</x:v>
      </x:c>
      <x:c r="Z109" s="23" t="str">
        <x:v>No</x:v>
      </x:c>
      <x:c r="AA109" s="23" t="str">
        <x:v>City research rank 4.</x:v>
      </x:c>
    </x:row>
    <x:row r="110" ht="40.5" customHeight="1">
      <x:c r="A110" s="23" t="str">
        <x:v>LAS-05</x:v>
      </x:c>
      <x:c r="B110" s="23" t="str">
        <x:v>Vegas Dance Explosion</x:v>
      </x:c>
      <x:c r="C110" s="23" t="str">
        <x:v>Doug Miranda</x:v>
      </x:c>
      <x:c r="D110" s="23" t="str">
        <x:v>Las Vegas</x:v>
      </x:c>
      <x:c r="E110" s="23" t="str">
        <x:v>NV</x:v>
      </x:c>
      <x:c r="F110" s="23" t="str">
        <x:v>Instructor team</x:v>
      </x:c>
      <x:c r="G110" s="23" t="str">
        <x:v>Large convention instruction, choreography, event production</x:v>
      </x:c>
      <x:c r="H110" s="23" t="str">
        <x:v>P2</x:v>
      </x:c>
      <x:c r="I110" s="23" t="str">
        <x:v>Researched</x:v>
      </x:c>
      <x:c r="J110" s="23" t="str">
        <x:v>Email</x:v>
      </x:c>
      <x:c r="K110" s="23" t="str">
        <x:v>contact@vegasdanceexplosion.com</x:v>
      </x:c>
      <x:c r="L110" s="23" t="str">
        <x:v>Shared event email</x:v>
      </x:c>
      <x:c r="M110" s="25" t="str"/>
      <x:c r="N110" s="25" t="str"/>
      <x:c r="O110" s="25" t="str">
        <x:v>https://www.vegasdanceexplosion.com/</x:v>
      </x:c>
      <x:c r="P110" s="25" t="str">
        <x:v>https://www.vegasdanceexplosion.com/</x:v>
      </x:c>
      <x:c r="Q110" s="23" t="str">
        <x:v>Co-producer and instructor at one of the best-known Las Vegas line dance conventions, active in 2026.</x:v>
      </x:c>
      <x:c r="R110" s="23" t="str">
        <x:v>Verified official site</x:v>
      </x:c>
      <x:c r="S110" s="24" t="n">
        <x:v>46239.666666666664</x:v>
      </x:c>
      <x:c r="T110" s="24"/>
      <x:c r="U110" s="24"/>
      <x:c r="V110" s="24"/>
      <x:c r="W110" s="23" t="str">
        <x:v>Personalize first outreach</x:v>
      </x:c>
      <x:c r="X110" s="23" t="str"/>
      <x:c r="Y110" s="23" t="str">
        <x:v>Unknown</x:v>
      </x:c>
      <x:c r="Z110" s="23" t="str">
        <x:v>No</x:v>
      </x:c>
      <x:c r="AA110" s="23" t="str">
        <x:v>City research rank 5.</x:v>
      </x:c>
    </x:row>
    <x:row r="111" ht="40.5" customHeight="1">
      <x:c r="A111" s="23" t="str">
        <x:v>LAS-06</x:v>
      </x:c>
      <x:c r="B111" s="23" t="str">
        <x:v>Z!nG David MC</x:v>
      </x:c>
      <x:c r="C111" s="23" t="str">
        <x:v>Z!nG David</x:v>
      </x:c>
      <x:c r="D111" s="23" t="str">
        <x:v>Las Vegas</x:v>
      </x:c>
      <x:c r="E111" s="23" t="str">
        <x:v>NV</x:v>
      </x:c>
      <x:c r="F111" s="23" t="str">
        <x:v>Independent instructor</x:v>
      </x:c>
      <x:c r="G111" s="23" t="str">
        <x:v>Private-event line dance instruction and emcee services</x:v>
      </x:c>
      <x:c r="H111" s="23" t="str">
        <x:v>P2</x:v>
      </x:c>
      <x:c r="I111" s="23" t="str">
        <x:v>Researched</x:v>
      </x:c>
      <x:c r="J111" s="23" t="str">
        <x:v>Booking platform</x:v>
      </x:c>
      <x:c r="K111" s="23" t="str"/>
      <x:c r="L111" s="23" t="str">
        <x:v>Not found</x:v>
      </x:c>
      <x:c r="M111" s="25" t="str"/>
      <x:c r="N111" s="25" t="str"/>
      <x:c r="O111" s="25" t="str">
        <x:v>https://www.gigsalad.com/zing_las_vegas</x:v>
      </x:c>
      <x:c r="P111" s="25" t="str">
        <x:v>https://www.gigsalad.com/zing_las_vegas</x:v>
      </x:c>
      <x:c r="Q111" s="23" t="str">
        <x:v>Las Vegas-based event professional publicly offering line dance instruction through a booking marketplace.</x:v>
      </x:c>
      <x:c r="R111" s="23" t="str">
        <x:v>Booking platform</x:v>
      </x:c>
      <x:c r="S111" s="24" t="n">
        <x:v>46239.666666666664</x:v>
      </x:c>
      <x:c r="T111" s="24"/>
      <x:c r="U111" s="24"/>
      <x:c r="V111" s="24"/>
      <x:c r="W111" s="23" t="str">
        <x:v>Personalize first outreach</x:v>
      </x:c>
      <x:c r="X111" s="23" t="str"/>
      <x:c r="Y111" s="23" t="str">
        <x:v>Unknown</x:v>
      </x:c>
      <x:c r="Z111" s="23" t="str">
        <x:v>No</x:v>
      </x:c>
      <x:c r="AA111" s="23" t="str">
        <x:v>City research rank 6.</x:v>
      </x:c>
    </x:row>
    <x:row r="112" ht="40.5" customHeight="1">
      <x:c r="A112" s="23" t="str">
        <x:v>LAS-07</x:v>
      </x:c>
      <x:c r="B112" s="23" t="str">
        <x:v>Boulder City Parks and Recreation</x:v>
      </x:c>
      <x:c r="C112" s="23" t="str">
        <x:v>Lynn St Pierre</x:v>
      </x:c>
      <x:c r="D112" s="23" t="str">
        <x:v>Las Vegas</x:v>
      </x:c>
      <x:c r="E112" s="23" t="str">
        <x:v>NV</x:v>
      </x:c>
      <x:c r="F112" s="23" t="str">
        <x:v>Venue-based instructor lead</x:v>
      </x:c>
      <x:c r="G112" s="23" t="str">
        <x:v>Beginner through advanced line dance classes</x:v>
      </x:c>
      <x:c r="H112" s="23" t="str">
        <x:v>P2</x:v>
      </x:c>
      <x:c r="I112" s="23" t="str">
        <x:v>Researched</x:v>
      </x:c>
      <x:c r="J112" s="23" t="str">
        <x:v>Venue referral</x:v>
      </x:c>
      <x:c r="K112" s="23" t="str"/>
      <x:c r="L112" s="23" t="str">
        <x:v>Not found</x:v>
      </x:c>
      <x:c r="M112" s="25" t="str"/>
      <x:c r="N112" s="25" t="str"/>
      <x:c r="O112" s="25" t="str">
        <x:v>https://bcnv.org/244/Special-Interest-ClassesWorkshops</x:v>
      </x:c>
      <x:c r="P112" s="25" t="str">
        <x:v>https://bcrec.recdesk.com/Community/Program/Detail?programId=4774</x:v>
      </x:c>
      <x:c r="Q112" s="23" t="str">
        <x:v>Las Vegas metro instructor who has taught hundreds of students over more than 13 years and is listed for current 2026 classes.</x:v>
      </x:c>
      <x:c r="R112" s="23" t="str">
        <x:v>Venue or event route</x:v>
      </x:c>
      <x:c r="S112" s="24" t="n">
        <x:v>46239.666666666664</x:v>
      </x:c>
      <x:c r="T112" s="24"/>
      <x:c r="U112" s="24"/>
      <x:c r="V112" s="24"/>
      <x:c r="W112" s="23" t="str">
        <x:v>Personalize first outreach</x:v>
      </x:c>
      <x:c r="X112" s="23" t="str"/>
      <x:c r="Y112" s="23" t="str">
        <x:v>Unknown</x:v>
      </x:c>
      <x:c r="Z112" s="23" t="str">
        <x:v>No</x:v>
      </x:c>
      <x:c r="AA112" s="23" t="str">
        <x:v>City research rank 7. Parks and Recreation phone: 702-293-9256.</x:v>
      </x:c>
    </x:row>
    <x:row r="113" ht="40.5" customHeight="1">
      <x:c r="A113" s="23" t="str">
        <x:v>LAS-08</x:v>
      </x:c>
      <x:c r="B113" s="23" t="str">
        <x:v>SkyView YMCA North Las Vegas</x:v>
      </x:c>
      <x:c r="C113" s="23" t="str">
        <x:v>Karmen Gipson</x:v>
      </x:c>
      <x:c r="D113" s="23" t="str">
        <x:v>Las Vegas</x:v>
      </x:c>
      <x:c r="E113" s="23" t="str">
        <x:v>NV</x:v>
      </x:c>
      <x:c r="F113" s="23" t="str">
        <x:v>Venue-based instructor lead</x:v>
      </x:c>
      <x:c r="G113" s="23" t="str">
        <x:v>Current North Las Vegas line dance classes</x:v>
      </x:c>
      <x:c r="H113" s="23" t="str">
        <x:v>P3</x:v>
      </x:c>
      <x:c r="I113" s="23" t="str">
        <x:v>Researched</x:v>
      </x:c>
      <x:c r="J113" s="23" t="str">
        <x:v>Venue referral</x:v>
      </x:c>
      <x:c r="K113" s="23" t="str"/>
      <x:c r="L113" s="23" t="str">
        <x:v>Not found</x:v>
      </x:c>
      <x:c r="M113" s="25" t="str"/>
      <x:c r="N113" s="25" t="str"/>
      <x:c r="O113" s="25" t="str">
        <x:v>https://www.cityofnorthlasvegas.com/home/showdocument?id=10046&amp;t=638827328653382026</x:v>
      </x:c>
      <x:c r="P113" s="25" t="str">
        <x:v>https://www.cityofnorthlasvegas.com/home/showdocument?id=10046&amp;t=638827328653382026</x:v>
      </x:c>
      <x:c r="Q113" s="23" t="str">
        <x:v>Named instructor for current 2026 North Las Vegas public line dance sessions.</x:v>
      </x:c>
      <x:c r="R113" s="23" t="str">
        <x:v>Venue or event route</x:v>
      </x:c>
      <x:c r="S113" s="24" t="n">
        <x:v>46239.666666666664</x:v>
      </x:c>
      <x:c r="T113" s="24"/>
      <x:c r="U113" s="24"/>
      <x:c r="V113" s="24"/>
      <x:c r="W113" s="23" t="str">
        <x:v>Request current contact through SkyView program staff</x:v>
      </x:c>
      <x:c r="X113" s="23" t="str"/>
      <x:c r="Y113" s="23" t="str">
        <x:v>Unknown</x:v>
      </x:c>
      <x:c r="Z113" s="23" t="str">
        <x:v>No</x:v>
      </x:c>
      <x:c r="AA113" s="23" t="str">
        <x:v>City research rank 8.</x:v>
      </x:c>
    </x:row>
    <x:row r="114" ht="40.5" customHeight="1">
      <x:c r="A114" s="23" t="str">
        <x:v>LAS-09</x:v>
      </x:c>
      <x:c r="B114" s="23" t="str">
        <x:v>Viva Tequila Las Vegas</x:v>
      </x:c>
      <x:c r="C114" s="23" t="str">
        <x:v>Samantha</x:v>
      </x:c>
      <x:c r="D114" s="23" t="str">
        <x:v>Las Vegas</x:v>
      </x:c>
      <x:c r="E114" s="23" t="str">
        <x:v>NV</x:v>
      </x:c>
      <x:c r="F114" s="23" t="str">
        <x:v>Venue-based instructor lead</x:v>
      </x:c>
      <x:c r="G114" s="23" t="str">
        <x:v>Current venue line dance lessons</x:v>
      </x:c>
      <x:c r="H114" s="23" t="str">
        <x:v>P3</x:v>
      </x:c>
      <x:c r="I114" s="23" t="str">
        <x:v>Researched</x:v>
      </x:c>
      <x:c r="J114" s="23" t="str">
        <x:v>Venue referral</x:v>
      </x:c>
      <x:c r="K114" s="23" t="str"/>
      <x:c r="L114" s="23" t="str">
        <x:v>Not found</x:v>
      </x:c>
      <x:c r="M114" s="25" t="str"/>
      <x:c r="N114" s="25" t="str"/>
      <x:c r="O114" s="25" t="str">
        <x:v>https://vivatequilavegas.com/events/IPBtsA8r7fXR</x:v>
      </x:c>
      <x:c r="P114" s="25" t="str">
        <x:v>https://vivatequilavegas.com/events/IPBtsA8r7fXR</x:v>
      </x:c>
      <x:c r="Q114" s="23" t="str">
        <x:v>Named instructor on current Las Vegas nightlife line dance programming.</x:v>
      </x:c>
      <x:c r="R114" s="23" t="str">
        <x:v>Venue or event route</x:v>
      </x:c>
      <x:c r="S114" s="24" t="n">
        <x:v>46239.666666666664</x:v>
      </x:c>
      <x:c r="T114" s="24"/>
      <x:c r="U114" s="24"/>
      <x:c r="V114" s="24"/>
      <x:c r="W114" s="23" t="str">
        <x:v>Request current contact through Viva Tequila</x:v>
      </x:c>
      <x:c r="X114" s="23" t="str"/>
      <x:c r="Y114" s="23" t="str">
        <x:v>Unknown</x:v>
      </x:c>
      <x:c r="Z114" s="23" t="str">
        <x:v>No</x:v>
      </x:c>
      <x:c r="AA114" s="23" t="str">
        <x:v>City research rank 9. Public professional first name used by the venue.</x:v>
      </x:c>
    </x:row>
    <x:row r="115" ht="40.5" customHeight="1">
      <x:c r="A115" s="23" t="str">
        <x:v>LAS-10</x:v>
      </x:c>
      <x:c r="B115" s="23" t="str">
        <x:v>Boot Scootin' Line Dance</x:v>
      </x:c>
      <x:c r="C115" s="23" t="str">
        <x:v>Philip Victoro (Boot Scootin' Philip)</x:v>
      </x:c>
      <x:c r="D115" s="23" t="str">
        <x:v>Las Vegas</x:v>
      </x:c>
      <x:c r="E115" s="23" t="str">
        <x:v>NV</x:v>
      </x:c>
      <x:c r="F115" s="23" t="str">
        <x:v>Independent instructor</x:v>
      </x:c>
      <x:c r="G115" s="23" t="str">
        <x:v>High-reach guest workshops, creator content, private events</x:v>
      </x:c>
      <x:c r="H115" s="23" t="str">
        <x:v>P3</x:v>
      </x:c>
      <x:c r="I115" s="23" t="str">
        <x:v>Researched</x:v>
      </x:c>
      <x:c r="J115" s="23" t="str">
        <x:v>Instagram</x:v>
      </x:c>
      <x:c r="K115" s="23" t="str"/>
      <x:c r="L115" s="23" t="str">
        <x:v>Not found</x:v>
      </x:c>
      <x:c r="M115" s="25" t="str">
        <x:v>https://www.instagram.com/_bootscootin/</x:v>
      </x:c>
      <x:c r="N115" s="25" t="str">
        <x:v>https://www.tiktok.com/@bootscootindance</x:v>
      </x:c>
      <x:c r="O115" s="25" t="str">
        <x:v>https://bootscootinlinedance.com/</x:v>
      </x:c>
      <x:c r="P115" s="25" t="str">
        <x:v>https://stoneysnorthforty.com/calendar/boot-scootin-philip-night-one/</x:v>
      </x:c>
      <x:c r="Q115" s="23" t="str">
        <x:v>Major online instructor with repeated Las Vegas venue appearances and strong in-market audience recognition.</x:v>
      </x:c>
      <x:c r="R115" s="23" t="str">
        <x:v>Verified public social</x:v>
      </x:c>
      <x:c r="S115" s="24" t="n">
        <x:v>46239.666666666664</x:v>
      </x:c>
      <x:c r="T115" s="24"/>
      <x:c r="U115" s="24"/>
      <x:c r="V115" s="24"/>
      <x:c r="W115" s="23" t="str">
        <x:v>Personalize first outreach</x:v>
      </x:c>
      <x:c r="X115" s="23" t="str"/>
      <x:c r="Y115" s="23" t="str">
        <x:v>Unknown</x:v>
      </x:c>
      <x:c r="Z115" s="23" t="str">
        <x:v>No</x:v>
      </x:c>
      <x:c r="AA115" s="23" t="str">
        <x:v>City research rank 10. Visiting instructor with documented Las Vegas appearances, not confirmed as a local resident.</x:v>
      </x:c>
    </x:row>
  </x:sheetData>
  <x:mergeCells>
    <x:mergeCell ref="A1:AA1"/>
    <x:mergeCell ref="A2:AA2"/>
    <x:mergeCell ref="A3:AA3"/>
  </x:mergeCells>
  <x:conditionalFormatting sqref="H6:H205">
    <x:cfRule type="containsText" dxfId="1" priority="1" operator="containsText" text="P1"/>
  </x:conditionalFormatting>
  <x:conditionalFormatting sqref="I6:I205">
    <x:cfRule type="containsText" dxfId="2" priority="2" operator="containsText" text="Active partner"/>
    <x:cfRule type="containsText" dxfId="3" priority="3" operator="containsText" text="Do not contact"/>
  </x:conditionalFormatting>
  <x:conditionalFormatting sqref="Y6:Y205">
    <x:cfRule type="containsText" dxfId="4" priority="4" operator="containsText" text="Yes"/>
    <x:cfRule type="containsText" dxfId="5" priority="5" operator="containsText" text="No"/>
  </x:conditionalFormatting>
  <x:conditionalFormatting sqref="V6:V205">
    <x:cfRule type="expression" dxfId="6" priority="6">
      <x:formula>AND($V6&lt;TODAY(),$V6&lt;&gt;"",$Z6&lt;&gt;"Yes",$I6&lt;&gt;"Do not contact")</x:formula>
    </x:cfRule>
  </x:conditionalFormatting>
  <x:dataValidations count="8">
    <x:dataValidation type="list" sqref="F6:F205">
      <x:formula1>'Workflow &amp; Lists'!$F$17:$F$21</x:formula1>
    </x:dataValidation>
    <x:dataValidation type="list" sqref="H6:H205">
      <x:formula1>'Workflow &amp; Lists'!$G$5:$G$7</x:formula1>
    </x:dataValidation>
    <x:dataValidation type="list" sqref="I6:I205">
      <x:formula1>'Workflow &amp; Lists'!$F$5:$F$13</x:formula1>
    </x:dataValidation>
    <x:dataValidation type="list" sqref="J6:J205">
      <x:formula1>'Workflow &amp; Lists'!$H$5:$H$12</x:formula1>
    </x:dataValidation>
    <x:dataValidation type="list" sqref="R6:R205">
      <x:formula1>'Workflow &amp; Lists'!$G$17:$G$23</x:formula1>
    </x:dataValidation>
    <x:dataValidation type="list" sqref="X6:X205">
      <x:formula1>'Workflow &amp; Lists'!$I$5:$I$10</x:formula1>
    </x:dataValidation>
    <x:dataValidation type="list" sqref="Y6:Y205">
      <x:formula1>'Workflow &amp; Lists'!$J$5:$J$8</x:formula1>
    </x:dataValidation>
    <x:dataValidation type="list" sqref="Z6:Z205">
      <x:formula1>'Workflow &amp; Lists'!$K$5:$K$6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28657e47ce49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5.329999923706055" hidden="0" customWidth="1"/>
    <x:col min="3" max="3" width="18.889999389648438" hidden="0" customWidth="1"/>
    <x:col min="4" max="4" width="20.559999465942383" hidden="0" customWidth="1"/>
    <x:col min="5" max="5" width="21.110000610351562" hidden="0" customWidth="1"/>
    <x:col min="6" max="6" width="22.780000686645508" hidden="0" customWidth="1"/>
    <x:col min="7" max="7" width="21.670000076293945" hidden="0" customWidth="1"/>
    <x:col min="8" max="8" width="11.109999656677246" hidden="0" customWidth="1"/>
    <x:col min="9" max="9" width="36.66999816894531" hidden="0" customWidth="1"/>
    <x:col min="10" max="10" width="24.440000534057617" hidden="0" customWidth="1"/>
    <x:col min="11" max="11" width="15" hidden="0" customWidth="1"/>
    <x:col min="12" max="12" width="10" hidden="0" customWidth="1"/>
    <x:col min="13" max="13" width="26.670000076293945" hidden="0" customWidth="1"/>
  </x:cols>
  <x:sheetData>
    <x:row r="1" ht="30" customHeight="1">
      <x:c r="A1" s="4" t="str">
        <x:v>Top 10 Instructor Research Priorities by Launch City</x:v>
      </x:c>
      <x:c r="B1" s="4" t="str">
        <x:v>Top 10 Instructor Research Priorities by Launch City</x:v>
      </x:c>
      <x:c r="C1" s="4" t="str">
        <x:v>Top 10 Instructor Research Priorities by Launch City</x:v>
      </x:c>
      <x:c r="D1" s="4" t="str">
        <x:v>Top 10 Instructor Research Priorities by Launch City</x:v>
      </x:c>
      <x:c r="E1" s="4" t="str">
        <x:v>Top 10 Instructor Research Priorities by Launch City</x:v>
      </x:c>
      <x:c r="F1" s="4" t="str">
        <x:v>Top 10 Instructor Research Priorities by Launch City</x:v>
      </x:c>
      <x:c r="G1" s="4" t="str">
        <x:v>Top 10 Instructor Research Priorities by Launch City</x:v>
      </x:c>
      <x:c r="H1" s="4" t="str">
        <x:v>Top 10 Instructor Research Priorities by Launch City</x:v>
      </x:c>
      <x:c r="I1" s="4" t="str">
        <x:v>Top 10 Instructor Research Priorities by Launch City</x:v>
      </x:c>
      <x:c r="J1" s="4" t="str">
        <x:v>Top 10 Instructor Research Priorities by Launch City</x:v>
      </x:c>
      <x:c r="K1" s="4" t="str">
        <x:v>Top 10 Instructor Research Priorities by Launch City</x:v>
      </x:c>
      <x:c r="L1" s="4" t="str">
        <x:v>Top 10 Instructor Research Priorities by Launch City</x:v>
      </x:c>
      <x:c r="M1" s="4" t="str">
        <x:v>Top 10 Instructor Research Priorities by Launch City</x:v>
      </x:c>
    </x:row>
    <x:row r="2" ht="22.5" customHeight="1">
      <x:c r="A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B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C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D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E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F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G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H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I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J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K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L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  <x:c r="M2" s="8" t="str">
        <x:v>These are ranked outreach priorities, not a definitive popularity census. Ranking uses observable public signals such as audience size, local venue visibility, current classes, event staff credits, awards, longevity, reviews, and contactability.</x:v>
      </x:c>
    </x:row>
    <x:row r="3" ht="22.5" customHeight="1">
      <x:c r="A3" s="12" t="str">
        <x:v>Public business contacts only. A shared team, venue, booking-platform, or organizer route is labeled when no direct individual email or social account was found.</x:v>
      </x:c>
      <x:c r="B3" s="12" t="str">
        <x:v>Public business contacts only. A shared team, venue, booking-platform, or organizer route is labeled when no direct individual email or social account was found.</x:v>
      </x:c>
      <x:c r="C3" s="12" t="str">
        <x:v>Public business contacts only. A shared team, venue, booking-platform, or organizer route is labeled when no direct individual email or social account was found.</x:v>
      </x:c>
      <x:c r="D3" s="12" t="str">
        <x:v>Public business contacts only. A shared team, venue, booking-platform, or organizer route is labeled when no direct individual email or social account was found.</x:v>
      </x:c>
      <x:c r="E3" s="12" t="str">
        <x:v>Public business contacts only. A shared team, venue, booking-platform, or organizer route is labeled when no direct individual email or social account was found.</x:v>
      </x:c>
      <x:c r="F3" s="12" t="str">
        <x:v>Public business contacts only. A shared team, venue, booking-platform, or organizer route is labeled when no direct individual email or social account was found.</x:v>
      </x:c>
      <x:c r="G3" s="12" t="str">
        <x:v>Public business contacts only. A shared team, venue, booking-platform, or organizer route is labeled when no direct individual email or social account was found.</x:v>
      </x:c>
      <x:c r="H3" s="12" t="str">
        <x:v>Public business contacts only. A shared team, venue, booking-platform, or organizer route is labeled when no direct individual email or social account was found.</x:v>
      </x:c>
      <x:c r="I3" s="12" t="str">
        <x:v>Public business contacts only. A shared team, venue, booking-platform, or organizer route is labeled when no direct individual email or social account was found.</x:v>
      </x:c>
      <x:c r="J3" s="12" t="str">
        <x:v>Public business contacts only. A shared team, venue, booking-platform, or organizer route is labeled when no direct individual email or social account was found.</x:v>
      </x:c>
      <x:c r="K3" s="12" t="str">
        <x:v>Public business contacts only. A shared team, venue, booking-platform, or organizer route is labeled when no direct individual email or social account was found.</x:v>
      </x:c>
      <x:c r="L3" s="12" t="str">
        <x:v>Public business contacts only. A shared team, venue, booking-platform, or organizer route is labeled when no direct individual email or social account was found.</x:v>
      </x:c>
      <x:c r="M3" s="12" t="str">
        <x:v>Public business contacts only. A shared team, venue, booking-platform, or organizer route is labeled when no direct individual email or social account was found.</x:v>
      </x:c>
    </x:row>
    <x:row r="5" ht="25.5" customHeight="1">
      <x:c r="A5" s="18" t="str">
        <x:v>Region</x:v>
      </x:c>
      <x:c r="B5" s="18" t="str">
        <x:v>Rank</x:v>
      </x:c>
      <x:c r="C5" s="18" t="str">
        <x:v>Instructor</x:v>
      </x:c>
      <x:c r="D5" s="18" t="str">
        <x:v>Affiliation</x:v>
      </x:c>
      <x:c r="E5" s="18" t="str">
        <x:v>Email</x:v>
      </x:c>
      <x:c r="F5" s="18" t="str">
        <x:v>Instagram</x:v>
      </x:c>
      <x:c r="G5" s="18" t="str">
        <x:v>TikTok</x:v>
      </x:c>
      <x:c r="H5" s="18" t="str">
        <x:v>Preferred channel</x:v>
      </x:c>
      <x:c r="I5" s="18" t="str">
        <x:v>Popularity / visibility signal</x:v>
      </x:c>
      <x:c r="J5" s="18" t="str">
        <x:v>Source URL</x:v>
      </x:c>
      <x:c r="K5" s="18" t="str">
        <x:v>Research confidence</x:v>
      </x:c>
      <x:c r="L5" s="18" t="str">
        <x:v>Research date</x:v>
      </x:c>
      <x:c r="M5" s="18" t="str">
        <x:v>Contact note</x:v>
      </x:c>
    </x:row>
    <x:row r="6" ht="43.5" customHeight="1">
      <x:c r="A6" s="23" t="str">
        <x:v>Nashville</x:v>
      </x:c>
      <x:c r="B6" s="23" t="n">
        <x:v>1</x:v>
      </x:c>
      <x:c r="C6" s="23" t="str">
        <x:v>Kyle Erickson (Cowboy Kyle)</x:v>
      </x:c>
      <x:c r="D6" s="23" t="str">
        <x:v>Urban Cowboy Line Dancing</x:v>
      </x:c>
      <x:c r="E6" s="23" t="str">
        <x:v>urbancowboylinedancing@gmail.com</x:v>
      </x:c>
      <x:c r="F6" s="25" t="str">
        <x:v>https://www.instagram.com/urbancowboylinedancing/</x:v>
      </x:c>
      <x:c r="G6" s="25" t="str">
        <x:v>https://www.tiktok.com/@urbancowboylinedancing</x:v>
      </x:c>
      <x:c r="H6" s="23" t="str">
        <x:v>Email</x:v>
      </x:c>
      <x:c r="I6" s="23" t="str">
        <x:v>High-visibility Nashville creator and event instructor. Public follower directories report more than 500,000 followers.</x:v>
      </x:c>
      <x:c r="J6" s="25" t="str">
        <x:v>https://www.urbancowboynashville.com/</x:v>
      </x:c>
      <x:c r="K6" s="23" t="str">
        <x:v>Verified official site</x:v>
      </x:c>
      <x:c r="L6" s="24" t="n">
        <x:v>46239.666666666664</x:v>
      </x:c>
      <x:c r="M6" s="23" t="str">
        <x:v>City research rank 1.</x:v>
      </x:c>
    </x:row>
    <x:row r="7" ht="43.5" customHeight="1">
      <x:c r="A7" s="23" t="str">
        <x:v>Nashville</x:v>
      </x:c>
      <x:c r="B7" s="23" t="n">
        <x:v>2</x:v>
      </x:c>
      <x:c r="C7" s="23" t="str">
        <x:v>Tabbi (@tiktok.tabbii)</x:v>
      </x:c>
      <x:c r="D7" s="23" t="str">
        <x:v>Nashville Balance Line Dance Team</x:v>
      </x:c>
      <x:c r="E7" s="23" t="str">
        <x:v>Biz.tttabbi@yahoo.com</x:v>
      </x:c>
      <x:c r="F7" s="25" t="str"/>
      <x:c r="G7" s="25" t="str">
        <x:v>https://www.tiktok.com/@tiktok.tabbii</x:v>
      </x:c>
      <x:c r="H7" s="23" t="str">
        <x:v>Email</x:v>
      </x:c>
      <x:c r="I7" s="23" t="str">
        <x:v>Nashville line dance creator with a large public TikTok audience, listed at roughly 800,000 followers by a public directory.</x:v>
      </x:c>
      <x:c r="J7" s="25" t="str">
        <x:v>https://influencers.club/top-influencers/line-dances/</x:v>
      </x:c>
      <x:c r="K7" s="23" t="str">
        <x:v>Verified public social</x:v>
      </x:c>
      <x:c r="L7" s="24" t="n">
        <x:v>46239.666666666664</x:v>
      </x:c>
      <x:c r="M7" s="23" t="str">
        <x:v>City research rank 2.</x:v>
      </x:c>
    </x:row>
    <x:row r="8" ht="43.5" customHeight="1">
      <x:c r="A8" s="23" t="str">
        <x:v>Nashville</x:v>
      </x:c>
      <x:c r="B8" s="23" t="n">
        <x:v>3</x:v>
      </x:c>
      <x:c r="C8" s="23" t="str">
        <x:v>Em Downs</x:v>
      </x:c>
      <x:c r="D8" s="23" t="str">
        <x:v>Em Downs Line Dancing</x:v>
      </x:c>
      <x:c r="E8" s="23" t="str">
        <x:v>Emdownsmusic@gmail.com</x:v>
      </x:c>
      <x:c r="F8" s="25" t="str">
        <x:v>https://www.instagram.com/emmdowns/</x:v>
      </x:c>
      <x:c r="G8" s="25" t="str">
        <x:v>https://www.tiktok.com/@emdowns</x:v>
      </x:c>
      <x:c r="H8" s="23" t="str">
        <x:v>Email</x:v>
      </x:c>
      <x:c r="I8" s="23" t="str">
        <x:v>Nashville creator and instructor with a sizable multi-platform audience and strong music-market fit.</x:v>
      </x:c>
      <x:c r="J8" s="25" t="str">
        <x:v>https://influencers.club/top-influencers/line-dances/</x:v>
      </x:c>
      <x:c r="K8" s="23" t="str">
        <x:v>Verified public social</x:v>
      </x:c>
      <x:c r="L8" s="24" t="n">
        <x:v>46239.666666666664</x:v>
      </x:c>
      <x:c r="M8" s="23" t="str">
        <x:v>City research rank 3.</x:v>
      </x:c>
    </x:row>
    <x:row r="9" ht="43.5" customHeight="1">
      <x:c r="A9" s="23" t="str">
        <x:v>Nashville</x:v>
      </x:c>
      <x:c r="B9" s="23" t="n">
        <x:v>4</x:v>
      </x:c>
      <x:c r="C9" s="23" t="str">
        <x:v>Chance Make 'Em Dance</x:v>
      </x:c>
      <x:c r="D9" s="23" t="str">
        <x:v>Line Dance Chance</x:v>
      </x:c>
      <x:c r="E9" s="23" t="str"/>
      <x:c r="F9" s="25" t="str"/>
      <x:c r="G9" s="25" t="str"/>
      <x:c r="H9" s="23" t="str">
        <x:v>Contact form</x:v>
      </x:c>
      <x:c r="I9" s="23" t="str">
        <x:v>Recognized Nashville instructor with festival and event teaching visibility.</x:v>
      </x:c>
      <x:c r="J9" s="25" t="str">
        <x:v>https://www.linedancechance.com/</x:v>
      </x:c>
      <x:c r="K9" s="23" t="str">
        <x:v>Verified official site</x:v>
      </x:c>
      <x:c r="L9" s="24" t="n">
        <x:v>46239.666666666664</x:v>
      </x:c>
      <x:c r="M9" s="23" t="str">
        <x:v>City research rank 4.</x:v>
      </x:c>
    </x:row>
    <x:row r="10" ht="43.5" customHeight="1">
      <x:c r="A10" s="23" t="str">
        <x:v>Nashville</x:v>
      </x:c>
      <x:c r="B10" s="23" t="n">
        <x:v>5</x:v>
      </x:c>
      <x:c r="C10" s="23" t="str">
        <x:v>Justin Lee</x:v>
      </x:c>
      <x:c r="D10" s="23" t="str">
        <x:v>Tennessee Backroad Line Dancing</x:v>
      </x:c>
      <x:c r="E10" s="23" t="str">
        <x:v>tbrlinedancing@gmail.com</x:v>
      </x:c>
      <x:c r="F10" s="25" t="str"/>
      <x:c r="G10" s="25" t="str"/>
      <x:c r="H10" s="23" t="str">
        <x:v>Email</x:v>
      </x:c>
      <x:c r="I10" s="23" t="str">
        <x:v>Lead instructor at a visible Nashville event-focused line dance business.</x:v>
      </x:c>
      <x:c r="J10" s="25" t="str">
        <x:v>https://www.tennesseebackroad.com/</x:v>
      </x:c>
      <x:c r="K10" s="23" t="str">
        <x:v>Verified official site</x:v>
      </x:c>
      <x:c r="L10" s="24" t="n">
        <x:v>46239.666666666664</x:v>
      </x:c>
      <x:c r="M10" s="23" t="str">
        <x:v>City research rank 5.</x:v>
      </x:c>
    </x:row>
    <x:row r="11" ht="43.5" customHeight="1">
      <x:c r="A11" s="23" t="str">
        <x:v>Nashville</x:v>
      </x:c>
      <x:c r="B11" s="23" t="n">
        <x:v>6</x:v>
      </x:c>
      <x:c r="C11" s="23" t="str">
        <x:v>Cowboy Jaylee</x:v>
      </x:c>
      <x:c r="D11" s="23" t="str">
        <x:v>Tennessee Backroad Line Dancing</x:v>
      </x:c>
      <x:c r="E11" s="23" t="str">
        <x:v>tbrlinedancing@gmail.com</x:v>
      </x:c>
      <x:c r="F11" s="25" t="str"/>
      <x:c r="G11" s="25" t="str"/>
      <x:c r="H11" s="23" t="str">
        <x:v>Email</x:v>
      </x:c>
      <x:c r="I11" s="23" t="str">
        <x:v>Publicly featured instructor on a Nashville event-focused teaching team.</x:v>
      </x:c>
      <x:c r="J11" s="25" t="str">
        <x:v>https://www.tennesseebackroad.com/</x:v>
      </x:c>
      <x:c r="K11" s="23" t="str">
        <x:v>Verified official site</x:v>
      </x:c>
      <x:c r="L11" s="24" t="n">
        <x:v>46239.666666666664</x:v>
      </x:c>
      <x:c r="M11" s="23" t="str">
        <x:v>City research rank 6.</x:v>
      </x:c>
    </x:row>
    <x:row r="12" ht="43.5" customHeight="1">
      <x:c r="A12" s="23" t="str">
        <x:v>Nashville</x:v>
      </x:c>
      <x:c r="B12" s="23" t="n">
        <x:v>7</x:v>
      </x:c>
      <x:c r="C12" s="23" t="str">
        <x:v>Andréa</x:v>
      </x:c>
      <x:c r="D12" s="23" t="str">
        <x:v>New Boots Line Dancing</x:v>
      </x:c>
      <x:c r="E12" s="23" t="str">
        <x:v>hello@newbootslinedancing.com</x:v>
      </x:c>
      <x:c r="F12" s="25" t="str">
        <x:v>https://www.instagram.com/newbootslinedancing/</x:v>
      </x:c>
      <x:c r="G12" s="25" t="str">
        <x:v>https://www.tiktok.com/@newbootslinedancing</x:v>
      </x:c>
      <x:c r="H12" s="23" t="str">
        <x:v>Email</x:v>
      </x:c>
      <x:c r="I12" s="23" t="str">
        <x:v>Owner and lead instructor of a multi-market line dance business with Nashville operations.</x:v>
      </x:c>
      <x:c r="J12" s="25" t="str">
        <x:v>https://www.newbootslinedancing.com/about-us</x:v>
      </x:c>
      <x:c r="K12" s="23" t="str">
        <x:v>Verified official site</x:v>
      </x:c>
      <x:c r="L12" s="24" t="n">
        <x:v>46239.666666666664</x:v>
      </x:c>
      <x:c r="M12" s="23" t="str">
        <x:v>City research rank 7. Public professional first name used on the official site.</x:v>
      </x:c>
    </x:row>
    <x:row r="13" ht="43.5" customHeight="1">
      <x:c r="A13" s="23" t="str">
        <x:v>Nashville</x:v>
      </x:c>
      <x:c r="B13" s="23" t="n">
        <x:v>8</x:v>
      </x:c>
      <x:c r="C13" s="23" t="str">
        <x:v>Jess</x:v>
      </x:c>
      <x:c r="D13" s="23" t="str">
        <x:v>New Boots Line Dancing</x:v>
      </x:c>
      <x:c r="E13" s="23" t="str">
        <x:v>hello@newbootslinedancing.com</x:v>
      </x:c>
      <x:c r="F13" s="25" t="str">
        <x:v>https://www.instagram.com/newbootslinedancing/</x:v>
      </x:c>
      <x:c r="G13" s="25" t="str">
        <x:v>https://www.tiktok.com/@newbootslinedancing</x:v>
      </x:c>
      <x:c r="H13" s="23" t="str">
        <x:v>Email</x:v>
      </x:c>
      <x:c r="I13" s="23" t="str">
        <x:v>Co-founder and lead instructor of a visible Nashville and New York teaching brand.</x:v>
      </x:c>
      <x:c r="J13" s="25" t="str">
        <x:v>https://www.newbootslinedancing.com/blog/meet-jess-nbld-cofounder</x:v>
      </x:c>
      <x:c r="K13" s="23" t="str">
        <x:v>Verified official site</x:v>
      </x:c>
      <x:c r="L13" s="24" t="n">
        <x:v>46239.666666666664</x:v>
      </x:c>
      <x:c r="M13" s="23" t="str">
        <x:v>City research rank 8. Public professional first name used on the official site.</x:v>
      </x:c>
    </x:row>
    <x:row r="14" ht="43.5" customHeight="1">
      <x:c r="A14" s="23" t="str">
        <x:v>Nashville</x:v>
      </x:c>
      <x:c r="B14" s="23" t="n">
        <x:v>9</x:v>
      </x:c>
      <x:c r="C14" s="23" t="str">
        <x:v>Mike Lavigna</x:v>
      </x:c>
      <x:c r="D14" s="23" t="str">
        <x:v>STEP Country Swing &amp; Dance</x:v>
      </x:c>
      <x:c r="E14" s="23" t="str">
        <x:v>mikelavignadance@gmail.com</x:v>
      </x:c>
      <x:c r="F14" s="25" t="str">
        <x:v>https://www.instagram.com/stepcountrydance/</x:v>
      </x:c>
      <x:c r="G14" s="25" t="str"/>
      <x:c r="H14" s="23" t="str">
        <x:v>Email</x:v>
      </x:c>
      <x:c r="I14" s="23" t="str">
        <x:v>Founder-led Nashville country dance business with community media visibility.</x:v>
      </x:c>
      <x:c r="J14" s="25" t="str">
        <x:v>https://nashvillevoyager.com/interview/community-highlights-meet-michael-lavigna-of-step-country-swing-dance/</x:v>
      </x:c>
      <x:c r="K14" s="23" t="str">
        <x:v>Verified official site</x:v>
      </x:c>
      <x:c r="L14" s="24" t="n">
        <x:v>46239.666666666664</x:v>
      </x:c>
      <x:c r="M14" s="23" t="str">
        <x:v>City research rank 9.</x:v>
      </x:c>
    </x:row>
    <x:row r="15" ht="43.5" customHeight="1">
      <x:c r="A15" s="23" t="str">
        <x:v>Nashville</x:v>
      </x:c>
      <x:c r="B15" s="23" t="n">
        <x:v>10</x:v>
      </x:c>
      <x:c r="C15" s="23" t="str">
        <x:v>Lisa Marie Pezzarello</x:v>
      </x:c>
      <x:c r="D15" s="23" t="str">
        <x:v>Lisa Marie Pezzarello Line Dance</x:v>
      </x:c>
      <x:c r="E15" s="23" t="str">
        <x:v>Lisamariepezzarello@yahoo.com</x:v>
      </x:c>
      <x:c r="F15" s="25" t="str">
        <x:v>https://www.instagram.com/lisamariepezzarello/</x:v>
      </x:c>
      <x:c r="G15" s="25" t="str"/>
      <x:c r="H15" s="23" t="str">
        <x:v>Email</x:v>
      </x:c>
      <x:c r="I15" s="23" t="str">
        <x:v>Nashville instructor and creator with a meaningful public social following.</x:v>
      </x:c>
      <x:c r="J15" s="25" t="str">
        <x:v>https://influencers.club/top-influencers/line-dances/</x:v>
      </x:c>
      <x:c r="K15" s="23" t="str">
        <x:v>Verified public social</x:v>
      </x:c>
      <x:c r="L15" s="24" t="n">
        <x:v>46239.666666666664</x:v>
      </x:c>
      <x:c r="M15" s="23" t="str">
        <x:v>City research rank 10.</x:v>
      </x:c>
    </x:row>
    <x:row r="16" ht="43.5" customHeight="1">
      <x:c r="A16" s="23" t="str">
        <x:v>Fort Worth</x:v>
      </x:c>
      <x:c r="B16" s="23" t="n">
        <x:v>1</x:v>
      </x:c>
      <x:c r="C16" s="23" t="str">
        <x:v>Suzy Ashmore</x:v>
      </x:c>
      <x:c r="D16" s="23" t="str">
        <x:v>Dance Suzy</x:v>
      </x:c>
      <x:c r="E16" s="23" t="str">
        <x:v>dancesuzy@gmail.com</x:v>
      </x:c>
      <x:c r="F16" s="25" t="str"/>
      <x:c r="G16" s="25" t="str"/>
      <x:c r="H16" s="23" t="str">
        <x:v>Email</x:v>
      </x:c>
      <x:c r="I16" s="23" t="str">
        <x:v>Fort Worth instructor with current regional-event visibility and an association-listed email.</x:v>
      </x:c>
      <x:c r="J16" s="25" t="str">
        <x:v>https://texaslinedancejamboree.com/instructors-list/</x:v>
      </x:c>
      <x:c r="K16" s="23" t="str">
        <x:v>Verified association list</x:v>
      </x:c>
      <x:c r="L16" s="24" t="n">
        <x:v>46239.666666666664</x:v>
      </x:c>
      <x:c r="M16" s="23" t="str">
        <x:v>City research rank 1.</x:v>
      </x:c>
    </x:row>
    <x:row r="17" ht="43.5" customHeight="1">
      <x:c r="A17" s="23" t="str">
        <x:v>Fort Worth</x:v>
      </x:c>
      <x:c r="B17" s="23" t="n">
        <x:v>2</x:v>
      </x:c>
      <x:c r="C17" s="23" t="str">
        <x:v>Bill</x:v>
      </x:c>
      <x:c r="D17" s="23" t="str">
        <x:v>Billy Bob's Texas Dance Lessons</x:v>
      </x:c>
      <x:c r="E17" s="23" t="str">
        <x:v>cwdancebywill.bonnie@gmail.com</x:v>
      </x:c>
      <x:c r="F17" s="25" t="str"/>
      <x:c r="G17" s="25" t="str"/>
      <x:c r="H17" s="23" t="str">
        <x:v>Email</x:v>
      </x:c>
      <x:c r="I17" s="23" t="str">
        <x:v>Instructor at one of Fort Worth's highest-visibility country venues.</x:v>
      </x:c>
      <x:c r="J17" s="25" t="str">
        <x:v>https://www.billybobstexas.com/events/activities/dancing</x:v>
      </x:c>
      <x:c r="K17" s="23" t="str">
        <x:v>Verified official site</x:v>
      </x:c>
      <x:c r="L17" s="24" t="n">
        <x:v>46239.666666666664</x:v>
      </x:c>
      <x:c r="M17" s="23" t="str">
        <x:v>City research rank 2. Public professional first name used by the venue.</x:v>
      </x:c>
    </x:row>
    <x:row r="18" ht="43.5" customHeight="1">
      <x:c r="A18" s="23" t="str">
        <x:v>Fort Worth</x:v>
      </x:c>
      <x:c r="B18" s="23" t="n">
        <x:v>3</x:v>
      </x:c>
      <x:c r="C18" s="23" t="str">
        <x:v>Bonnie</x:v>
      </x:c>
      <x:c r="D18" s="23" t="str">
        <x:v>Billy Bob's Texas Dance Lessons</x:v>
      </x:c>
      <x:c r="E18" s="23" t="str">
        <x:v>cwdancebywill.bonnie@gmail.com</x:v>
      </x:c>
      <x:c r="F18" s="25" t="str"/>
      <x:c r="G18" s="25" t="str"/>
      <x:c r="H18" s="23" t="str">
        <x:v>Email</x:v>
      </x:c>
      <x:c r="I18" s="23" t="str">
        <x:v>Instructor at one of Fort Worth's highest-visibility country venues.</x:v>
      </x:c>
      <x:c r="J18" s="25" t="str">
        <x:v>https://www.billybobstexas.com/events/activities/dancing</x:v>
      </x:c>
      <x:c r="K18" s="23" t="str">
        <x:v>Verified official site</x:v>
      </x:c>
      <x:c r="L18" s="24" t="n">
        <x:v>46239.666666666664</x:v>
      </x:c>
      <x:c r="M18" s="23" t="str">
        <x:v>City research rank 3. Public professional first name used by the venue.</x:v>
      </x:c>
    </x:row>
    <x:row r="19" ht="43.5" customHeight="1">
      <x:c r="A19" s="23" t="str">
        <x:v>Fort Worth</x:v>
      </x:c>
      <x:c r="B19" s="23" t="n">
        <x:v>4</x:v>
      </x:c>
      <x:c r="C19" s="23" t="str">
        <x:v>Fleeta Burns</x:v>
      </x:c>
      <x:c r="D19" s="23" t="str">
        <x:v>Independent Fort Worth Instructor</x:v>
      </x:c>
      <x:c r="E19" s="23" t="str">
        <x:v>kfmb20@yahoo.com</x:v>
      </x:c>
      <x:c r="F19" s="25" t="str"/>
      <x:c r="G19" s="25" t="str"/>
      <x:c r="H19" s="23" t="str">
        <x:v>Email</x:v>
      </x:c>
      <x:c r="I19" s="23" t="str">
        <x:v>Fort Worth-area instructor listed on the current Texas Line Dance Jamboree roster.</x:v>
      </x:c>
      <x:c r="J19" s="25" t="str">
        <x:v>https://texaslinedancejamboree.com/instructors-list/</x:v>
      </x:c>
      <x:c r="K19" s="23" t="str">
        <x:v>Verified association list</x:v>
      </x:c>
      <x:c r="L19" s="24" t="n">
        <x:v>46239.666666666664</x:v>
      </x:c>
      <x:c r="M19" s="23" t="str">
        <x:v>City research rank 4.</x:v>
      </x:c>
    </x:row>
    <x:row r="20" ht="43.5" customHeight="1">
      <x:c r="A20" s="23" t="str">
        <x:v>Fort Worth</x:v>
      </x:c>
      <x:c r="B20" s="23" t="n">
        <x:v>5</x:v>
      </x:c>
      <x:c r="C20" s="23" t="str">
        <x:v>Marcia Riebe</x:v>
      </x:c>
      <x:c r="D20" s="23" t="str">
        <x:v>Independent Fort Worth Instructor</x:v>
      </x:c>
      <x:c r="E20" s="23" t="str">
        <x:v>marcia.riebe@gmail.com</x:v>
      </x:c>
      <x:c r="F20" s="25" t="str"/>
      <x:c r="G20" s="25" t="str"/>
      <x:c r="H20" s="23" t="str">
        <x:v>Email</x:v>
      </x:c>
      <x:c r="I20" s="23" t="str">
        <x:v>Fort Worth-area instructor listed on the current Texas Line Dance Jamboree roster.</x:v>
      </x:c>
      <x:c r="J20" s="25" t="str">
        <x:v>https://texaslinedancejamboree.com/instructors-list/</x:v>
      </x:c>
      <x:c r="K20" s="23" t="str">
        <x:v>Verified association list</x:v>
      </x:c>
      <x:c r="L20" s="24" t="n">
        <x:v>46239.666666666664</x:v>
      </x:c>
      <x:c r="M20" s="23" t="str">
        <x:v>City research rank 5.</x:v>
      </x:c>
    </x:row>
    <x:row r="21" ht="43.5" customHeight="1">
      <x:c r="A21" s="23" t="str">
        <x:v>Fort Worth</x:v>
      </x:c>
      <x:c r="B21" s="23" t="n">
        <x:v>6</x:v>
      </x:c>
      <x:c r="C21" s="23" t="str">
        <x:v>Judy Sides</x:v>
      </x:c>
      <x:c r="D21" s="23" t="str">
        <x:v>Independent Fort Worth Instructor</x:v>
      </x:c>
      <x:c r="E21" s="23" t="str">
        <x:v>exersides@gmail.com</x:v>
      </x:c>
      <x:c r="F21" s="25" t="str"/>
      <x:c r="G21" s="25" t="str"/>
      <x:c r="H21" s="23" t="str">
        <x:v>Email</x:v>
      </x:c>
      <x:c r="I21" s="23" t="str">
        <x:v>Fort Worth-area instructor listed on the current Texas Line Dance Jamboree roster.</x:v>
      </x:c>
      <x:c r="J21" s="25" t="str">
        <x:v>https://texaslinedancejamboree.com/instructors-list/</x:v>
      </x:c>
      <x:c r="K21" s="23" t="str">
        <x:v>Verified association list</x:v>
      </x:c>
      <x:c r="L21" s="24" t="n">
        <x:v>46239.666666666664</x:v>
      </x:c>
      <x:c r="M21" s="23" t="str">
        <x:v>City research rank 6.</x:v>
      </x:c>
    </x:row>
    <x:row r="22" ht="43.5" customHeight="1">
      <x:c r="A22" s="23" t="str">
        <x:v>Fort Worth</x:v>
      </x:c>
      <x:c r="B22" s="23" t="n">
        <x:v>7</x:v>
      </x:c>
      <x:c r="C22" s="23" t="str">
        <x:v>Penny Williams</x:v>
      </x:c>
      <x:c r="D22" s="23" t="str">
        <x:v>Independent Fort Worth Instructor</x:v>
      </x:c>
      <x:c r="E22" s="23" t="str">
        <x:v>willpennyjane@yahoo.com</x:v>
      </x:c>
      <x:c r="F22" s="25" t="str"/>
      <x:c r="G22" s="25" t="str"/>
      <x:c r="H22" s="23" t="str">
        <x:v>Email</x:v>
      </x:c>
      <x:c r="I22" s="23" t="str">
        <x:v>Fort Worth-area instructor listed on the current Texas Line Dance Jamboree roster.</x:v>
      </x:c>
      <x:c r="J22" s="25" t="str">
        <x:v>https://texaslinedancejamboree.com/instructors-list/</x:v>
      </x:c>
      <x:c r="K22" s="23" t="str">
        <x:v>Verified association list</x:v>
      </x:c>
      <x:c r="L22" s="24" t="n">
        <x:v>46239.666666666664</x:v>
      </x:c>
      <x:c r="M22" s="23" t="str">
        <x:v>City research rank 7.</x:v>
      </x:c>
    </x:row>
    <x:row r="23" ht="43.5" customHeight="1">
      <x:c r="A23" s="23" t="str">
        <x:v>Fort Worth</x:v>
      </x:c>
      <x:c r="B23" s="23" t="n">
        <x:v>8</x:v>
      </x:c>
      <x:c r="C23" s="23" t="str">
        <x:v>Briana</x:v>
      </x:c>
      <x:c r="D23" s="23" t="str">
        <x:v>Dance With Briana</x:v>
      </x:c>
      <x:c r="E23" s="23" t="str"/>
      <x:c r="F23" s="25" t="str">
        <x:v>https://www.instagram.com/dancewithbri_/</x:v>
      </x:c>
      <x:c r="G23" s="25" t="str">
        <x:v>https://www.tiktok.com/@dancewithbri_</x:v>
      </x:c>
      <x:c r="H23" s="23" t="str">
        <x:v>Instagram</x:v>
      </x:c>
      <x:c r="I23" s="23" t="str">
        <x:v>Fort Worth-area instructor with a dedicated public teaching brand and booking site.</x:v>
      </x:c>
      <x:c r="J23" s="25" t="str">
        <x:v>https://dancewithbriana.com/</x:v>
      </x:c>
      <x:c r="K23" s="23" t="str">
        <x:v>Verified official site</x:v>
      </x:c>
      <x:c r="L23" s="24" t="n">
        <x:v>46239.666666666664</x:v>
      </x:c>
      <x:c r="M23" s="23" t="str">
        <x:v>City research rank 8. Public professional first name used on the official site.</x:v>
      </x:c>
    </x:row>
    <x:row r="24" ht="43.5" customHeight="1">
      <x:c r="A24" s="23" t="str">
        <x:v>Fort Worth</x:v>
      </x:c>
      <x:c r="B24" s="23" t="n">
        <x:v>9</x:v>
      </x:c>
      <x:c r="C24" s="23" t="str">
        <x:v>Kevin Kelsey</x:v>
      </x:c>
      <x:c r="D24" s="23" t="str">
        <x:v>Southwest Collectors Association Line Dance</x:v>
      </x:c>
      <x:c r="E24" s="23" t="str"/>
      <x:c r="F24" s="25" t="str"/>
      <x:c r="G24" s="25" t="str"/>
      <x:c r="H24" s="23" t="str">
        <x:v>Referral</x:v>
      </x:c>
      <x:c r="I24" s="23" t="str">
        <x:v>Publicly named Fort Worth-area event instructor with community-event visibility.</x:v>
      </x:c>
      <x:c r="J24" s="25" t="str">
        <x:v>https://www.southwestcollectors.org/issues/SWCA_Collector_Summer2024.pdf</x:v>
      </x:c>
      <x:c r="K24" s="23" t="str">
        <x:v>Venue or event route</x:v>
      </x:c>
      <x:c r="L24" s="24" t="n">
        <x:v>46239.666666666664</x:v>
      </x:c>
      <x:c r="M24" s="23" t="str">
        <x:v>City research rank 9.</x:v>
      </x:c>
    </x:row>
    <x:row r="25" ht="43.5" customHeight="1">
      <x:c r="A25" s="23" t="str">
        <x:v>Fort Worth</x:v>
      </x:c>
      <x:c r="B25" s="23" t="n">
        <x:v>10</x:v>
      </x:c>
      <x:c r="C25" s="23" t="str">
        <x:v>Samantha Kelsey</x:v>
      </x:c>
      <x:c r="D25" s="23" t="str">
        <x:v>Southwest Collectors Association Line Dance</x:v>
      </x:c>
      <x:c r="E25" s="23" t="str"/>
      <x:c r="F25" s="25" t="str"/>
      <x:c r="G25" s="25" t="str"/>
      <x:c r="H25" s="23" t="str">
        <x:v>Referral</x:v>
      </x:c>
      <x:c r="I25" s="23" t="str">
        <x:v>Publicly named Fort Worth-area event instructor with community-event visibility.</x:v>
      </x:c>
      <x:c r="J25" s="25" t="str">
        <x:v>https://www.southwestcollectors.org/issues/SWCA_Collector_Summer2024.pdf</x:v>
      </x:c>
      <x:c r="K25" s="23" t="str">
        <x:v>Venue or event route</x:v>
      </x:c>
      <x:c r="L25" s="24" t="n">
        <x:v>46239.666666666664</x:v>
      </x:c>
      <x:c r="M25" s="23" t="str">
        <x:v>City research rank 10.</x:v>
      </x:c>
    </x:row>
    <x:row r="26" ht="43.5" customHeight="1">
      <x:c r="A26" s="23" t="str">
        <x:v>Austin</x:v>
      </x:c>
      <x:c r="B26" s="23" t="n">
        <x:v>1</x:v>
      </x:c>
      <x:c r="C26" s="23" t="str">
        <x:v>Vanessa Vaught</x:v>
      </x:c>
      <x:c r="D26" s="23" t="str">
        <x:v>Double or Nothing Two-Step</x:v>
      </x:c>
      <x:c r="E26" s="23" t="str">
        <x:v>events@doubleornothingtwostep.com</x:v>
      </x:c>
      <x:c r="F26" s="25" t="str">
        <x:v>https://www.instagram.com/doubleornothingtwostep/</x:v>
      </x:c>
      <x:c r="G26" s="25" t="str"/>
      <x:c r="H26" s="23" t="str">
        <x:v>Email</x:v>
      </x:c>
      <x:c r="I26" s="23" t="str">
        <x:v>Award-winning Austin instructor with more than 200 public five-star reviews and strong event positioning.</x:v>
      </x:c>
      <x:c r="J26" s="25" t="str">
        <x:v>https://www.doubleornothingtwostep.com/bachelorette-party-austin</x:v>
      </x:c>
      <x:c r="K26" s="23" t="str">
        <x:v>Verified official site</x:v>
      </x:c>
      <x:c r="L26" s="24" t="n">
        <x:v>46239.666666666664</x:v>
      </x:c>
      <x:c r="M26" s="23" t="str">
        <x:v>City research rank 1.</x:v>
      </x:c>
    </x:row>
    <x:row r="27" ht="43.5" customHeight="1">
      <x:c r="A27" s="23" t="str">
        <x:v>Austin</x:v>
      </x:c>
      <x:c r="B27" s="23" t="n">
        <x:v>2</x:v>
      </x:c>
      <x:c r="C27" s="23" t="str">
        <x:v>Nico Osier</x:v>
      </x:c>
      <x:c r="D27" s="23" t="str">
        <x:v>Country Fried Dance</x:v>
      </x:c>
      <x:c r="E27" s="23" t="str">
        <x:v>CountryFriedDance@gmail.com</x:v>
      </x:c>
      <x:c r="F27" s="25" t="str">
        <x:v>https://www.instagram.com/countryfrieddance/</x:v>
      </x:c>
      <x:c r="G27" s="25" t="str"/>
      <x:c r="H27" s="23" t="str">
        <x:v>Email</x:v>
      </x:c>
      <x:c r="I27" s="23" t="str">
        <x:v>High-visibility Austin instructor teaching at current venues and featured in local media and music projects.</x:v>
      </x:c>
      <x:c r="J27" s="25" t="str">
        <x:v>https://countryfrieddance.com/</x:v>
      </x:c>
      <x:c r="K27" s="23" t="str">
        <x:v>Verified official site</x:v>
      </x:c>
      <x:c r="L27" s="24" t="n">
        <x:v>46239.666666666664</x:v>
      </x:c>
      <x:c r="M27" s="23" t="str">
        <x:v>City research rank 2.</x:v>
      </x:c>
    </x:row>
    <x:row r="28" ht="43.5" customHeight="1">
      <x:c r="A28" s="23" t="str">
        <x:v>Austin</x:v>
      </x:c>
      <x:c r="B28" s="23" t="n">
        <x:v>3</x:v>
      </x:c>
      <x:c r="C28" s="23" t="str">
        <x:v>Eric Moreno</x:v>
      </x:c>
      <x:c r="D28" s="23" t="str">
        <x:v>Native Texan Two Step</x:v>
      </x:c>
      <x:c r="E28" s="23" t="str">
        <x:v>nativetexantwostep@gmail.com</x:v>
      </x:c>
      <x:c r="F28" s="25" t="str">
        <x:v>https://www.instagram.com/nativetexantwostep/</x:v>
      </x:c>
      <x:c r="G28" s="25" t="str"/>
      <x:c r="H28" s="23" t="str">
        <x:v>Email</x:v>
      </x:c>
      <x:c r="I28" s="23" t="str">
        <x:v>Co-leads a well-established Austin country dance brand with public classes and private events.</x:v>
      </x:c>
      <x:c r="J28" s="25" t="str">
        <x:v>https://www.nativetexantwostep.com/</x:v>
      </x:c>
      <x:c r="K28" s="23" t="str">
        <x:v>Verified official site</x:v>
      </x:c>
      <x:c r="L28" s="24" t="n">
        <x:v>46239.666666666664</x:v>
      </x:c>
      <x:c r="M28" s="23" t="str">
        <x:v>City research rank 3.</x:v>
      </x:c>
    </x:row>
    <x:row r="29" ht="43.5" customHeight="1">
      <x:c r="A29" s="23" t="str">
        <x:v>Austin</x:v>
      </x:c>
      <x:c r="B29" s="23" t="n">
        <x:v>4</x:v>
      </x:c>
      <x:c r="C29" s="23" t="str">
        <x:v>Keighley Voorheis</x:v>
      </x:c>
      <x:c r="D29" s="23" t="str">
        <x:v>Native Texan Two Step</x:v>
      </x:c>
      <x:c r="E29" s="23" t="str">
        <x:v>nativetexantwostep@gmail.com</x:v>
      </x:c>
      <x:c r="F29" s="25" t="str">
        <x:v>https://www.instagram.com/nativetexantwostep/</x:v>
      </x:c>
      <x:c r="G29" s="25" t="str"/>
      <x:c r="H29" s="23" t="str">
        <x:v>Email</x:v>
      </x:c>
      <x:c r="I29" s="23" t="str">
        <x:v>Co-leads a well-established Austin country dance brand with public classes and private events.</x:v>
      </x:c>
      <x:c r="J29" s="25" t="str">
        <x:v>https://www.nativetexantwostep.com/</x:v>
      </x:c>
      <x:c r="K29" s="23" t="str">
        <x:v>Verified official site</x:v>
      </x:c>
      <x:c r="L29" s="24" t="n">
        <x:v>46239.666666666664</x:v>
      </x:c>
      <x:c r="M29" s="23" t="str">
        <x:v>City research rank 4.</x:v>
      </x:c>
    </x:row>
    <x:row r="30" ht="43.5" customHeight="1">
      <x:c r="A30" s="23" t="str">
        <x:v>Austin</x:v>
      </x:c>
      <x:c r="B30" s="23" t="n">
        <x:v>5</x:v>
      </x:c>
      <x:c r="C30" s="23" t="str">
        <x:v>Amy Glass</x:v>
      </x:c>
      <x:c r="D30" s="23" t="str">
        <x:v>Independent Austin Instructor</x:v>
      </x:c>
      <x:c r="E30" s="23" t="str">
        <x:v>amynta@sbcglobal.net</x:v>
      </x:c>
      <x:c r="F30" s="25" t="str"/>
      <x:c r="G30" s="25" t="str"/>
      <x:c r="H30" s="23" t="str">
        <x:v>Email</x:v>
      </x:c>
      <x:c r="I30" s="23" t="str">
        <x:v>Austin instructor with current Texas Line Dance Jamboree visibility.</x:v>
      </x:c>
      <x:c r="J30" s="25" t="str">
        <x:v>https://texaslinedancejamboree.com/instructors-list/</x:v>
      </x:c>
      <x:c r="K30" s="23" t="str">
        <x:v>Verified association list</x:v>
      </x:c>
      <x:c r="L30" s="24" t="n">
        <x:v>46239.666666666664</x:v>
      </x:c>
      <x:c r="M30" s="23" t="str">
        <x:v>City research rank 5.</x:v>
      </x:c>
    </x:row>
    <x:row r="31" ht="43.5" customHeight="1">
      <x:c r="A31" s="23" t="str">
        <x:v>Austin</x:v>
      </x:c>
      <x:c r="B31" s="23" t="n">
        <x:v>6</x:v>
      </x:c>
      <x:c r="C31" s="23" t="str">
        <x:v>Jacinto Dominguez</x:v>
      </x:c>
      <x:c r="D31" s="23" t="str">
        <x:v>Independent Austin Instructor</x:v>
      </x:c>
      <x:c r="E31" s="23" t="str">
        <x:v>therealjacinto@gmail.com</x:v>
      </x:c>
      <x:c r="F31" s="25" t="str"/>
      <x:c r="G31" s="25" t="str"/>
      <x:c r="H31" s="23" t="str">
        <x:v>Email</x:v>
      </x:c>
      <x:c r="I31" s="23" t="str">
        <x:v>Austin instructor with current Texas Line Dance Jamboree visibility.</x:v>
      </x:c>
      <x:c r="J31" s="25" t="str">
        <x:v>https://texaslinedancejamboree.com/instructors-list/</x:v>
      </x:c>
      <x:c r="K31" s="23" t="str">
        <x:v>Verified association list</x:v>
      </x:c>
      <x:c r="L31" s="24" t="n">
        <x:v>46239.666666666664</x:v>
      </x:c>
      <x:c r="M31" s="23" t="str">
        <x:v>City research rank 6.</x:v>
      </x:c>
    </x:row>
    <x:row r="32" ht="43.5" customHeight="1">
      <x:c r="A32" s="23" t="str">
        <x:v>Austin</x:v>
      </x:c>
      <x:c r="B32" s="23" t="n">
        <x:v>7</x:v>
      </x:c>
      <x:c r="C32" s="23" t="str">
        <x:v>Carolina Kandu</x:v>
      </x:c>
      <x:c r="D32" s="23" t="str">
        <x:v>Independent Austin Instructor</x:v>
      </x:c>
      <x:c r="E32" s="23" t="str">
        <x:v>ckandu2003@yahoo.com</x:v>
      </x:c>
      <x:c r="F32" s="25" t="str"/>
      <x:c r="G32" s="25" t="str"/>
      <x:c r="H32" s="23" t="str">
        <x:v>Email</x:v>
      </x:c>
      <x:c r="I32" s="23" t="str">
        <x:v>Austin instructor with current Texas Line Dance Jamboree visibility.</x:v>
      </x:c>
      <x:c r="J32" s="25" t="str">
        <x:v>https://texaslinedancejamboree.com/instructors-list/</x:v>
      </x:c>
      <x:c r="K32" s="23" t="str">
        <x:v>Verified association list</x:v>
      </x:c>
      <x:c r="L32" s="24" t="n">
        <x:v>46239.666666666664</x:v>
      </x:c>
      <x:c r="M32" s="23" t="str">
        <x:v>City research rank 7.</x:v>
      </x:c>
    </x:row>
    <x:row r="33" ht="43.5" customHeight="1">
      <x:c r="A33" s="23" t="str">
        <x:v>Austin</x:v>
      </x:c>
      <x:c r="B33" s="23" t="n">
        <x:v>8</x:v>
      </x:c>
      <x:c r="C33" s="23" t="str">
        <x:v>Tanya Rippenkroeger</x:v>
      </x:c>
      <x:c r="D33" s="23" t="str">
        <x:v>Independent Austin Instructor</x:v>
      </x:c>
      <x:c r="E33" s="23" t="str">
        <x:v>rntripp@msn.com</x:v>
      </x:c>
      <x:c r="F33" s="25" t="str"/>
      <x:c r="G33" s="25" t="str"/>
      <x:c r="H33" s="23" t="str">
        <x:v>Email</x:v>
      </x:c>
      <x:c r="I33" s="23" t="str">
        <x:v>Austin instructor with current Texas Line Dance Jamboree visibility.</x:v>
      </x:c>
      <x:c r="J33" s="25" t="str">
        <x:v>https://texaslinedancejamboree.com/instructors-list/</x:v>
      </x:c>
      <x:c r="K33" s="23" t="str">
        <x:v>Verified association list</x:v>
      </x:c>
      <x:c r="L33" s="24" t="n">
        <x:v>46239.666666666664</x:v>
      </x:c>
      <x:c r="M33" s="23" t="str">
        <x:v>City research rank 8.</x:v>
      </x:c>
    </x:row>
    <x:row r="34" ht="43.5" customHeight="1">
      <x:c r="A34" s="23" t="str">
        <x:v>Austin</x:v>
      </x:c>
      <x:c r="B34" s="23" t="n">
        <x:v>9</x:v>
      </x:c>
      <x:c r="C34" s="23" t="str">
        <x:v>Kathy Sun</x:v>
      </x:c>
      <x:c r="D34" s="23" t="str">
        <x:v>Independent Austin Instructor</x:v>
      </x:c>
      <x:c r="E34" s="23" t="str">
        <x:v>kathy.sun.mao@gmail.com</x:v>
      </x:c>
      <x:c r="F34" s="25" t="str"/>
      <x:c r="G34" s="25" t="str"/>
      <x:c r="H34" s="23" t="str">
        <x:v>Email</x:v>
      </x:c>
      <x:c r="I34" s="23" t="str">
        <x:v>Austin instructor with current Texas Line Dance Jamboree visibility.</x:v>
      </x:c>
      <x:c r="J34" s="25" t="str">
        <x:v>https://texaslinedancejamboree.com/instructors-list/</x:v>
      </x:c>
      <x:c r="K34" s="23" t="str">
        <x:v>Verified association list</x:v>
      </x:c>
      <x:c r="L34" s="24" t="n">
        <x:v>46239.666666666664</x:v>
      </x:c>
      <x:c r="M34" s="23" t="str">
        <x:v>City research rank 9.</x:v>
      </x:c>
    </x:row>
    <x:row r="35" ht="43.5" customHeight="1">
      <x:c r="A35" s="23" t="str">
        <x:v>Austin</x:v>
      </x:c>
      <x:c r="B35" s="23" t="n">
        <x:v>10</x:v>
      </x:c>
      <x:c r="C35" s="23" t="str">
        <x:v>Karen Steger</x:v>
      </x:c>
      <x:c r="D35" s="23" t="str">
        <x:v>Independent Austin Instructor</x:v>
      </x:c>
      <x:c r="E35" s="23" t="str">
        <x:v>karensteger@sbcglobal.net</x:v>
      </x:c>
      <x:c r="F35" s="25" t="str"/>
      <x:c r="G35" s="25" t="str"/>
      <x:c r="H35" s="23" t="str">
        <x:v>Email</x:v>
      </x:c>
      <x:c r="I35" s="23" t="str">
        <x:v>Austin instructor with current Texas Line Dance Jamboree visibility.</x:v>
      </x:c>
      <x:c r="J35" s="25" t="str">
        <x:v>https://texaslinedancejamboree.com/instructors-list/</x:v>
      </x:c>
      <x:c r="K35" s="23" t="str">
        <x:v>Verified association list</x:v>
      </x:c>
      <x:c r="L35" s="24" t="n">
        <x:v>46239.666666666664</x:v>
      </x:c>
      <x:c r="M35" s="23" t="str">
        <x:v>City research rank 10.</x:v>
      </x:c>
    </x:row>
    <x:row r="36" ht="43.5" customHeight="1">
      <x:c r="A36" s="23" t="str">
        <x:v>Dallas</x:v>
      </x:c>
      <x:c r="B36" s="23" t="n">
        <x:v>1</x:v>
      </x:c>
      <x:c r="C36" s="23" t="str">
        <x:v>Isha Hutchinson</x:v>
      </x:c>
      <x:c r="D36" s="23" t="str">
        <x:v>410 Line Dancers</x:v>
      </x:c>
      <x:c r="E36" s="23" t="str">
        <x:v>410linedancers@gmail.com</x:v>
      </x:c>
      <x:c r="F36" s="25" t="str">
        <x:v>https://www.instagram.com/410linedancers/</x:v>
      </x:c>
      <x:c r="G36" s="25" t="str">
        <x:v>https://www.tiktok.com/@410linedancers</x:v>
      </x:c>
      <x:c r="H36" s="23" t="str">
        <x:v>Email</x:v>
      </x:c>
      <x:c r="I36" s="23" t="str">
        <x:v>Co-leads a visible DFW line dance team with public event services and active social channels.</x:v>
      </x:c>
      <x:c r="J36" s="25" t="str">
        <x:v>https://www.410linedancers.com/</x:v>
      </x:c>
      <x:c r="K36" s="23" t="str">
        <x:v>Verified official site</x:v>
      </x:c>
      <x:c r="L36" s="24" t="n">
        <x:v>46239.666666666664</x:v>
      </x:c>
      <x:c r="M36" s="23" t="str">
        <x:v>City research rank 1.</x:v>
      </x:c>
    </x:row>
    <x:row r="37" ht="43.5" customHeight="1">
      <x:c r="A37" s="23" t="str">
        <x:v>Dallas</x:v>
      </x:c>
      <x:c r="B37" s="23" t="n">
        <x:v>2</x:v>
      </x:c>
      <x:c r="C37" s="23" t="str">
        <x:v>Marlo Hutchinson</x:v>
      </x:c>
      <x:c r="D37" s="23" t="str">
        <x:v>410 Line Dancers</x:v>
      </x:c>
      <x:c r="E37" s="23" t="str">
        <x:v>410linedancers@gmail.com</x:v>
      </x:c>
      <x:c r="F37" s="25" t="str">
        <x:v>https://www.instagram.com/410linedancers/</x:v>
      </x:c>
      <x:c r="G37" s="25" t="str">
        <x:v>https://www.tiktok.com/@410linedancers</x:v>
      </x:c>
      <x:c r="H37" s="23" t="str">
        <x:v>Email</x:v>
      </x:c>
      <x:c r="I37" s="23" t="str">
        <x:v>Co-leads a visible DFW line dance team with public event services and active social channels.</x:v>
      </x:c>
      <x:c r="J37" s="25" t="str">
        <x:v>https://www.410linedancers.com/</x:v>
      </x:c>
      <x:c r="K37" s="23" t="str">
        <x:v>Verified official site</x:v>
      </x:c>
      <x:c r="L37" s="24" t="n">
        <x:v>46239.666666666664</x:v>
      </x:c>
      <x:c r="M37" s="23" t="str">
        <x:v>City research rank 2.</x:v>
      </x:c>
    </x:row>
    <x:row r="38" ht="43.5" customHeight="1">
      <x:c r="A38" s="23" t="str">
        <x:v>Dallas</x:v>
      </x:c>
      <x:c r="B38" s="23" t="n">
        <x:v>3</x:v>
      </x:c>
      <x:c r="C38" s="23" t="str">
        <x:v>Karen Aubrey</x:v>
      </x:c>
      <x:c r="D38" s="23" t="str">
        <x:v>Independent Dallas Instructor</x:v>
      </x:c>
      <x:c r="E38" s="23" t="str">
        <x:v>kaubrey@aol.com</x:v>
      </x:c>
      <x:c r="F38" s="25" t="str"/>
      <x:c r="G38" s="25" t="str"/>
      <x:c r="H38" s="23" t="str">
        <x:v>Email</x:v>
      </x:c>
      <x:c r="I38" s="23" t="str">
        <x:v>Dallas-area instructor on the current Texas Line Dance Jamboree roster.</x:v>
      </x:c>
      <x:c r="J38" s="25" t="str">
        <x:v>https://texaslinedancejamboree.com/instructors-list/</x:v>
      </x:c>
      <x:c r="K38" s="23" t="str">
        <x:v>Verified association list</x:v>
      </x:c>
      <x:c r="L38" s="24" t="n">
        <x:v>46239.666666666664</x:v>
      </x:c>
      <x:c r="M38" s="23" t="str">
        <x:v>City research rank 3.</x:v>
      </x:c>
    </x:row>
    <x:row r="39" ht="43.5" customHeight="1">
      <x:c r="A39" s="23" t="str">
        <x:v>Dallas</x:v>
      </x:c>
      <x:c r="B39" s="23" t="n">
        <x:v>4</x:v>
      </x:c>
      <x:c r="C39" s="23" t="str">
        <x:v>Kay Coder</x:v>
      </x:c>
      <x:c r="D39" s="23" t="str">
        <x:v>Independent Dallas Instructor</x:v>
      </x:c>
      <x:c r="E39" s="23" t="str">
        <x:v>kcoder@sbcglobal.net</x:v>
      </x:c>
      <x:c r="F39" s="25" t="str"/>
      <x:c r="G39" s="25" t="str"/>
      <x:c r="H39" s="23" t="str">
        <x:v>Email</x:v>
      </x:c>
      <x:c r="I39" s="23" t="str">
        <x:v>Dallas-area instructor on the current Texas Line Dance Jamboree roster.</x:v>
      </x:c>
      <x:c r="J39" s="25" t="str">
        <x:v>https://texaslinedancejamboree.com/instructors-list/</x:v>
      </x:c>
      <x:c r="K39" s="23" t="str">
        <x:v>Verified association list</x:v>
      </x:c>
      <x:c r="L39" s="24" t="n">
        <x:v>46239.666666666664</x:v>
      </x:c>
      <x:c r="M39" s="23" t="str">
        <x:v>City research rank 4.</x:v>
      </x:c>
    </x:row>
    <x:row r="40" ht="43.5" customHeight="1">
      <x:c r="A40" s="23" t="str">
        <x:v>Dallas</x:v>
      </x:c>
      <x:c r="B40" s="23" t="n">
        <x:v>5</x:v>
      </x:c>
      <x:c r="C40" s="23" t="str">
        <x:v>Gail Donaldson</x:v>
      </x:c>
      <x:c r="D40" s="23" t="str">
        <x:v>Independent Dallas Instructor</x:v>
      </x:c>
      <x:c r="E40" s="23" t="str">
        <x:v>gail.donald@yahoo.com</x:v>
      </x:c>
      <x:c r="F40" s="25" t="str"/>
      <x:c r="G40" s="25" t="str"/>
      <x:c r="H40" s="23" t="str">
        <x:v>Email</x:v>
      </x:c>
      <x:c r="I40" s="23" t="str">
        <x:v>Dallas-area instructor on the current Texas Line Dance Jamboree roster.</x:v>
      </x:c>
      <x:c r="J40" s="25" t="str">
        <x:v>https://texaslinedancejamboree.com/instructors-list/</x:v>
      </x:c>
      <x:c r="K40" s="23" t="str">
        <x:v>Verified association list</x:v>
      </x:c>
      <x:c r="L40" s="24" t="n">
        <x:v>46239.666666666664</x:v>
      </x:c>
      <x:c r="M40" s="23" t="str">
        <x:v>City research rank 5.</x:v>
      </x:c>
    </x:row>
    <x:row r="41" ht="43.5" customHeight="1">
      <x:c r="A41" s="23" t="str">
        <x:v>Dallas</x:v>
      </x:c>
      <x:c r="B41" s="23" t="n">
        <x:v>6</x:v>
      </x:c>
      <x:c r="C41" s="23" t="str">
        <x:v>Ann Ellis</x:v>
      </x:c>
      <x:c r="D41" s="23" t="str">
        <x:v>Independent Dallas Instructor</x:v>
      </x:c>
      <x:c r="E41" s="23" t="str">
        <x:v>ellisintx@gmail.com</x:v>
      </x:c>
      <x:c r="F41" s="25" t="str"/>
      <x:c r="G41" s="25" t="str"/>
      <x:c r="H41" s="23" t="str">
        <x:v>Email</x:v>
      </x:c>
      <x:c r="I41" s="23" t="str">
        <x:v>Dallas-area instructor on the current Texas Line Dance Jamboree roster.</x:v>
      </x:c>
      <x:c r="J41" s="25" t="str">
        <x:v>https://texaslinedancejamboree.com/instructors-list/</x:v>
      </x:c>
      <x:c r="K41" s="23" t="str">
        <x:v>Verified association list</x:v>
      </x:c>
      <x:c r="L41" s="24" t="n">
        <x:v>46239.666666666664</x:v>
      </x:c>
      <x:c r="M41" s="23" t="str">
        <x:v>City research rank 6.</x:v>
      </x:c>
    </x:row>
    <x:row r="42" ht="43.5" customHeight="1">
      <x:c r="A42" s="23" t="str">
        <x:v>Dallas</x:v>
      </x:c>
      <x:c r="B42" s="23" t="n">
        <x:v>7</x:v>
      </x:c>
      <x:c r="C42" s="23" t="str">
        <x:v>Juliet Lam</x:v>
      </x:c>
      <x:c r="D42" s="23" t="str">
        <x:v>Juliet Dance N Teach</x:v>
      </x:c>
      <x:c r="E42" s="23" t="str">
        <x:v>lingling777@gmail.com</x:v>
      </x:c>
      <x:c r="F42" s="25" t="str"/>
      <x:c r="G42" s="25" t="str"/>
      <x:c r="H42" s="23" t="str">
        <x:v>Email</x:v>
      </x:c>
      <x:c r="I42" s="23" t="str">
        <x:v>Dallas instructor with association visibility and a public tutorial channel.</x:v>
      </x:c>
      <x:c r="J42" s="25" t="str">
        <x:v>https://texaslinedancejamboree.com/instructors-list/</x:v>
      </x:c>
      <x:c r="K42" s="23" t="str">
        <x:v>Verified association list</x:v>
      </x:c>
      <x:c r="L42" s="24" t="n">
        <x:v>46239.666666666664</x:v>
      </x:c>
      <x:c r="M42" s="23" t="str">
        <x:v>City research rank 7.</x:v>
      </x:c>
    </x:row>
    <x:row r="43" ht="43.5" customHeight="1">
      <x:c r="A43" s="23" t="str">
        <x:v>Dallas</x:v>
      </x:c>
      <x:c r="B43" s="23" t="n">
        <x:v>8</x:v>
      </x:c>
      <x:c r="C43" s="23" t="str">
        <x:v>Ann Pettit</x:v>
      </x:c>
      <x:c r="D43" s="23" t="str">
        <x:v>Independent Dallas Instructor</x:v>
      </x:c>
      <x:c r="E43" s="23" t="str">
        <x:v>oapdq@hotmail.com</x:v>
      </x:c>
      <x:c r="F43" s="25" t="str"/>
      <x:c r="G43" s="25" t="str"/>
      <x:c r="H43" s="23" t="str">
        <x:v>Email</x:v>
      </x:c>
      <x:c r="I43" s="23" t="str">
        <x:v>Dallas-area instructor on the current Texas Line Dance Jamboree roster.</x:v>
      </x:c>
      <x:c r="J43" s="25" t="str">
        <x:v>https://texaslinedancejamboree.com/instructors-list/</x:v>
      </x:c>
      <x:c r="K43" s="23" t="str">
        <x:v>Verified association list</x:v>
      </x:c>
      <x:c r="L43" s="24" t="n">
        <x:v>46239.666666666664</x:v>
      </x:c>
      <x:c r="M43" s="23" t="str">
        <x:v>City research rank 8.</x:v>
      </x:c>
    </x:row>
    <x:row r="44" ht="43.5" customHeight="1">
      <x:c r="A44" s="23" t="str">
        <x:v>Dallas</x:v>
      </x:c>
      <x:c r="B44" s="23" t="n">
        <x:v>9</x:v>
      </x:c>
      <x:c r="C44" s="23" t="str">
        <x:v>Nikki Simpson</x:v>
      </x:c>
      <x:c r="D44" s="23" t="str">
        <x:v>Rockin' Red Rodeo</x:v>
      </x:c>
      <x:c r="E44" s="23" t="str">
        <x:v>rockinredrodeo@gmail.com</x:v>
      </x:c>
      <x:c r="F44" s="25" t="str"/>
      <x:c r="G44" s="25" t="str"/>
      <x:c r="H44" s="23" t="str">
        <x:v>Email</x:v>
      </x:c>
      <x:c r="I44" s="23" t="str">
        <x:v>Dallas instructor with a recognizable event brand and current regional roster visibility.</x:v>
      </x:c>
      <x:c r="J44" s="25" t="str">
        <x:v>https://texaslinedancejamboree.com/instructors-list/</x:v>
      </x:c>
      <x:c r="K44" s="23" t="str">
        <x:v>Verified association list</x:v>
      </x:c>
      <x:c r="L44" s="24" t="n">
        <x:v>46239.666666666664</x:v>
      </x:c>
      <x:c r="M44" s="23" t="str">
        <x:v>City research rank 9.</x:v>
      </x:c>
    </x:row>
    <x:row r="45" ht="43.5" customHeight="1">
      <x:c r="A45" s="23" t="str">
        <x:v>Dallas</x:v>
      </x:c>
      <x:c r="B45" s="23" t="n">
        <x:v>10</x:v>
      </x:c>
      <x:c r="C45" s="23" t="str">
        <x:v>Vi Smith</x:v>
      </x:c>
      <x:c r="D45" s="23" t="str">
        <x:v>Independent Dallas Instructor</x:v>
      </x:c>
      <x:c r="E45" s="23" t="str">
        <x:v>msundecided@hotmail.com</x:v>
      </x:c>
      <x:c r="F45" s="25" t="str"/>
      <x:c r="G45" s="25" t="str"/>
      <x:c r="H45" s="23" t="str">
        <x:v>Email</x:v>
      </x:c>
      <x:c r="I45" s="23" t="str">
        <x:v>Dallas-area instructor on the current Texas Line Dance Jamboree roster.</x:v>
      </x:c>
      <x:c r="J45" s="25" t="str">
        <x:v>https://texaslinedancejamboree.com/instructors-list/</x:v>
      </x:c>
      <x:c r="K45" s="23" t="str">
        <x:v>Verified association list</x:v>
      </x:c>
      <x:c r="L45" s="24" t="n">
        <x:v>46239.666666666664</x:v>
      </x:c>
      <x:c r="M45" s="23" t="str">
        <x:v>City research rank 10.</x:v>
      </x:c>
    </x:row>
    <x:row r="46" ht="43.5" customHeight="1">
      <x:c r="A46" s="23" t="str">
        <x:v>Houston</x:v>
      </x:c>
      <x:c r="B46" s="23" t="n">
        <x:v>1</x:v>
      </x:c>
      <x:c r="C46" s="23" t="str">
        <x:v>Clevetta R. Young</x:v>
      </x:c>
      <x:c r="D46" s="23" t="str">
        <x:v>Houston Line Dancing community</x:v>
      </x:c>
      <x:c r="E46" s="23" t="str"/>
      <x:c r="F46" s="25" t="str"/>
      <x:c r="G46" s="25" t="str"/>
      <x:c r="H46" s="23" t="str">
        <x:v>Referral</x:v>
      </x:c>
      <x:c r="I46" s="23" t="str">
        <x:v>Widely profiled Houston soul line dance leader connected to a community reported at 15,000 members and major rodeo events.</x:v>
      </x:c>
      <x:c r="J46" s="25" t="str">
        <x:v>https://defendernetwork.com/news/local-state/houston-line-dancers-step-in-the-name-of-love/</x:v>
      </x:c>
      <x:c r="K46" s="23" t="str">
        <x:v>Editorial profile</x:v>
      </x:c>
      <x:c r="L46" s="24" t="n">
        <x:v>46239.666666666664</x:v>
      </x:c>
      <x:c r="M46" s="23" t="str">
        <x:v>City research rank 1.</x:v>
      </x:c>
    </x:row>
    <x:row r="47" ht="43.5" customHeight="1">
      <x:c r="A47" s="23" t="str">
        <x:v>Houston</x:v>
      </x:c>
      <x:c r="B47" s="23" t="n">
        <x:v>2</x:v>
      </x:c>
      <x:c r="C47" s="23" t="str">
        <x:v>Jakayla Preston</x:v>
      </x:c>
      <x:c r="D47" s="23" t="str">
        <x:v>Jakayla Preston Line Dance</x:v>
      </x:c>
      <x:c r="E47" s="23" t="str"/>
      <x:c r="F47" s="25" t="str"/>
      <x:c r="G47" s="25" t="str">
        <x:v>https://www.tiktok.com/@_itsjakaylaa</x:v>
      </x:c>
      <x:c r="H47" s="23" t="str">
        <x:v>TikTok</x:v>
      </x:c>
      <x:c r="I47" s="23" t="str">
        <x:v>Houston instructor whose viral choreography led to national teaching demand and Associated Press coverage.</x:v>
      </x:c>
      <x:c r="J47" s="25" t="str">
        <x:v>https://apnews.com/article/1498fd0b9b778813f5827885d554c43e</x:v>
      </x:c>
      <x:c r="K47" s="23" t="str">
        <x:v>Verified public social</x:v>
      </x:c>
      <x:c r="L47" s="24" t="n">
        <x:v>46239.666666666664</x:v>
      </x:c>
      <x:c r="M47" s="23" t="str">
        <x:v>City research rank 2.</x:v>
      </x:c>
    </x:row>
    <x:row r="48" ht="43.5" customHeight="1">
      <x:c r="A48" s="23" t="str">
        <x:v>Houston</x:v>
      </x:c>
      <x:c r="B48" s="23" t="n">
        <x:v>3</x:v>
      </x:c>
      <x:c r="C48" s="23" t="str">
        <x:v>Gloria (Gee)</x:v>
      </x:c>
      <x:c r="D48" s="23" t="str">
        <x:v>Line Dancing With Gee</x:v>
      </x:c>
      <x:c r="E48" s="23" t="str"/>
      <x:c r="F48" s="25" t="str"/>
      <x:c r="G48" s="25" t="str"/>
      <x:c r="H48" s="23" t="str">
        <x:v>Booking platform</x:v>
      </x:c>
      <x:c r="I48" s="23" t="str">
        <x:v>Houston instructor with 20-plus public reviews and verified bookings on a public event marketplace.</x:v>
      </x:c>
      <x:c r="J48" s="25" t="str">
        <x:v>https://www.gigsalad.com/line_dancing_with_gee_houston</x:v>
      </x:c>
      <x:c r="K48" s="23" t="str">
        <x:v>Booking platform</x:v>
      </x:c>
      <x:c r="L48" s="24" t="n">
        <x:v>46239.666666666664</x:v>
      </x:c>
      <x:c r="M48" s="23" t="str">
        <x:v>City research rank 3. Public professional name used on booking profile.</x:v>
      </x:c>
    </x:row>
    <x:row r="49" ht="43.5" customHeight="1">
      <x:c r="A49" s="23" t="str">
        <x:v>Houston</x:v>
      </x:c>
      <x:c r="B49" s="23" t="n">
        <x:v>4</x:v>
      </x:c>
      <x:c r="C49" s="23" t="str">
        <x:v>Britt Beresik</x:v>
      </x:c>
      <x:c r="D49" s="23" t="str">
        <x:v>Cross The Line Dancing Houston</x:v>
      </x:c>
      <x:c r="E49" s="23" t="str">
        <x:v>linedancinghouston@gmail.com</x:v>
      </x:c>
      <x:c r="F49" s="25" t="str"/>
      <x:c r="G49" s="25" t="str"/>
      <x:c r="H49" s="23" t="str">
        <x:v>Email</x:v>
      </x:c>
      <x:c r="I49" s="23" t="str">
        <x:v>Founder-led Houston service with private-event experience and national convention visibility.</x:v>
      </x:c>
      <x:c r="J49" s="25" t="str">
        <x:v>https://www.linedancinghouston.com/about</x:v>
      </x:c>
      <x:c r="K49" s="23" t="str">
        <x:v>Verified official site</x:v>
      </x:c>
      <x:c r="L49" s="24" t="n">
        <x:v>46239.666666666664</x:v>
      </x:c>
      <x:c r="M49" s="23" t="str">
        <x:v>City research rank 4.</x:v>
      </x:c>
    </x:row>
    <x:row r="50" ht="43.5" customHeight="1">
      <x:c r="A50" s="23" t="str">
        <x:v>Houston</x:v>
      </x:c>
      <x:c r="B50" s="23" t="n">
        <x:v>5</x:v>
      </x:c>
      <x:c r="C50" s="23" t="str">
        <x:v>Nzinga</x:v>
      </x:c>
      <x:c r="D50" s="23" t="str">
        <x:v>Mind Body and Soul Dancers</x:v>
      </x:c>
      <x:c r="E50" s="23" t="str">
        <x:v>nzinga@linedancehouston.com</x:v>
      </x:c>
      <x:c r="F50" s="25" t="str"/>
      <x:c r="G50" s="25" t="str"/>
      <x:c r="H50" s="23" t="str">
        <x:v>Email</x:v>
      </x:c>
      <x:c r="I50" s="23" t="str">
        <x:v>Houston business leader with a differentiated corporate wellness offer and instructor training program.</x:v>
      </x:c>
      <x:c r="J50" s="25" t="str">
        <x:v>https://www.linedancehouston.com/</x:v>
      </x:c>
      <x:c r="K50" s="23" t="str">
        <x:v>Verified official site</x:v>
      </x:c>
      <x:c r="L50" s="24" t="n">
        <x:v>46239.666666666664</x:v>
      </x:c>
      <x:c r="M50" s="23" t="str">
        <x:v>City research rank 5. Public professional name used on the official site.</x:v>
      </x:c>
    </x:row>
    <x:row r="51" ht="43.5" customHeight="1">
      <x:c r="A51" s="23" t="str">
        <x:v>Houston</x:v>
      </x:c>
      <x:c r="B51" s="23" t="n">
        <x:v>6</x:v>
      </x:c>
      <x:c r="C51" s="23" t="str">
        <x:v>Pat Cel</x:v>
      </x:c>
      <x:c r="D51" s="23" t="str">
        <x:v>Line Dance Houston</x:v>
      </x:c>
      <x:c r="E51" s="23" t="str">
        <x:v>nzinga@linedancehouston.com</x:v>
      </x:c>
      <x:c r="F51" s="25" t="str"/>
      <x:c r="G51" s="25" t="str"/>
      <x:c r="H51" s="23" t="str">
        <x:v>Email</x:v>
      </x:c>
      <x:c r="I51" s="23" t="str">
        <x:v>Multi-award-winning Houston instructor with a long-running company and public team profile.</x:v>
      </x:c>
      <x:c r="J51" s="25" t="str">
        <x:v>https://linedancehouston.cloud/meet-the-team/pat-cel</x:v>
      </x:c>
      <x:c r="K51" s="23" t="str">
        <x:v>Verified official site</x:v>
      </x:c>
      <x:c r="L51" s="24" t="n">
        <x:v>46239.666666666664</x:v>
      </x:c>
      <x:c r="M51" s="23" t="str">
        <x:v>City research rank 6.</x:v>
      </x:c>
    </x:row>
    <x:row r="52" ht="43.5" customHeight="1">
      <x:c r="A52" s="23" t="str">
        <x:v>Houston</x:v>
      </x:c>
      <x:c r="B52" s="23" t="n">
        <x:v>7</x:v>
      </x:c>
      <x:c r="C52" s="23" t="str">
        <x:v>Renita Cooksey</x:v>
      </x:c>
      <x:c r="D52" s="23" t="str">
        <x:v>ReRe Steppas</x:v>
      </x:c>
      <x:c r="E52" s="23" t="str"/>
      <x:c r="F52" s="25" t="str"/>
      <x:c r="G52" s="25" t="str"/>
      <x:c r="H52" s="23" t="str">
        <x:v>Referral</x:v>
      </x:c>
      <x:c r="I52" s="23" t="str">
        <x:v>Current Houston community instructor featured by ABC13 for the ReRe Steppas program.</x:v>
      </x:c>
      <x:c r="J52" s="25" t="str">
        <x:v>https://abc13.com/post/soul-line-dancing-meet-rere-steppas/18542873/</x:v>
      </x:c>
      <x:c r="K52" s="23" t="str">
        <x:v>Editorial profile</x:v>
      </x:c>
      <x:c r="L52" s="24" t="n">
        <x:v>46239.666666666664</x:v>
      </x:c>
      <x:c r="M52" s="23" t="str">
        <x:v>City research rank 7.</x:v>
      </x:c>
    </x:row>
    <x:row r="53" ht="43.5" customHeight="1">
      <x:c r="A53" s="23" t="str">
        <x:v>Houston</x:v>
      </x:c>
      <x:c r="B53" s="23" t="n">
        <x:v>8</x:v>
      </x:c>
      <x:c r="C53" s="23" t="str">
        <x:v>Ms. Stella</x:v>
      </x:c>
      <x:c r="D53" s="23" t="str">
        <x:v>Step N Class</x:v>
      </x:c>
      <x:c r="E53" s="23" t="str"/>
      <x:c r="F53" s="25" t="str"/>
      <x:c r="G53" s="25" t="str"/>
      <x:c r="H53" s="23" t="str">
        <x:v>Phone</x:v>
      </x:c>
      <x:c r="I53" s="23" t="str">
        <x:v>Houston instructor with public classes, event experience, and a public booking phone number.</x:v>
      </x:c>
      <x:c r="J53" s="25" t="str">
        <x:v>https://www.stepnclass.com/classes</x:v>
      </x:c>
      <x:c r="K53" s="23" t="str">
        <x:v>Verified official site</x:v>
      </x:c>
      <x:c r="L53" s="24" t="n">
        <x:v>46239.666666666664</x:v>
      </x:c>
      <x:c r="M53" s="23" t="str">
        <x:v>City research rank 8. Public phone: 832-987-6260.</x:v>
      </x:c>
    </x:row>
    <x:row r="54" ht="43.5" customHeight="1">
      <x:c r="A54" s="23" t="str">
        <x:v>Houston</x:v>
      </x:c>
      <x:c r="B54" s="23" t="n">
        <x:v>9</x:v>
      </x:c>
      <x:c r="C54" s="23" t="str">
        <x:v>Elsa Campbell</x:v>
      </x:c>
      <x:c r="D54" s="23" t="str">
        <x:v>What A Dancer</x:v>
      </x:c>
      <x:c r="E54" s="23" t="str">
        <x:v>elsacampbell@sbcglobal.net</x:v>
      </x:c>
      <x:c r="F54" s="25" t="str"/>
      <x:c r="G54" s="25" t="str"/>
      <x:c r="H54" s="23" t="str">
        <x:v>Email</x:v>
      </x:c>
      <x:c r="I54" s="23" t="str">
        <x:v>Houston-area instructor with a dedicated site and current Texas event-roster visibility.</x:v>
      </x:c>
      <x:c r="J54" s="25" t="str">
        <x:v>https://texaslinedancejamboree.com/instructors-list/</x:v>
      </x:c>
      <x:c r="K54" s="23" t="str">
        <x:v>Verified association list</x:v>
      </x:c>
      <x:c r="L54" s="24" t="n">
        <x:v>46239.666666666664</x:v>
      </x:c>
      <x:c r="M54" s="23" t="str">
        <x:v>City research rank 9.</x:v>
      </x:c>
    </x:row>
    <x:row r="55" ht="43.5" customHeight="1">
      <x:c r="A55" s="23" t="str">
        <x:v>Houston</x:v>
      </x:c>
      <x:c r="B55" s="23" t="n">
        <x:v>10</x:v>
      </x:c>
      <x:c r="C55" s="23" t="str">
        <x:v>Cheryl Rogers</x:v>
      </x:c>
      <x:c r="D55" s="23" t="str">
        <x:v>Independent Houston Instructor</x:v>
      </x:c>
      <x:c r="E55" s="23" t="str">
        <x:v>cheryl.rogers5678@gmail.com</x:v>
      </x:c>
      <x:c r="F55" s="25" t="str"/>
      <x:c r="G55" s="25" t="str"/>
      <x:c r="H55" s="23" t="str">
        <x:v>Email</x:v>
      </x:c>
      <x:c r="I55" s="23" t="str">
        <x:v>Houston-area instructor on the current Texas Line Dance Jamboree roster.</x:v>
      </x:c>
      <x:c r="J55" s="25" t="str">
        <x:v>https://texaslinedancejamboree.com/instructors-list/</x:v>
      </x:c>
      <x:c r="K55" s="23" t="str">
        <x:v>Verified association list</x:v>
      </x:c>
      <x:c r="L55" s="24" t="n">
        <x:v>46239.666666666664</x:v>
      </x:c>
      <x:c r="M55" s="23" t="str">
        <x:v>City research rank 10.</x:v>
      </x:c>
    </x:row>
    <x:row r="56" ht="43.5" customHeight="1">
      <x:c r="A56" s="23" t="str">
        <x:v>San Francisco Bay Area</x:v>
      </x:c>
      <x:c r="B56" s="23" t="n">
        <x:v>1</x:v>
      </x:c>
      <x:c r="C56" s="23" t="str">
        <x:v>Lisa</x:v>
      </x:c>
      <x:c r="D56" s="23" t="str">
        <x:v>Line Dancing Lisa</x:v>
      </x:c>
      <x:c r="E56" s="23" t="str">
        <x:v>lisa@linedancinglisa.com</x:v>
      </x:c>
      <x:c r="F56" s="25" t="str">
        <x:v>https://www.instagram.com/linedancinglisa/</x:v>
      </x:c>
      <x:c r="G56" s="25" t="str"/>
      <x:c r="H56" s="23" t="str">
        <x:v>Email</x:v>
      </x:c>
      <x:c r="I56" s="23" t="str">
        <x:v>High-reach Bay Area instructor whose public partners report serving hundreds of dancers weekly.</x:v>
      </x:c>
      <x:c r="J56" s="25" t="str">
        <x:v>https://www.linedancinglisa.com/</x:v>
      </x:c>
      <x:c r="K56" s="23" t="str">
        <x:v>Verified official site</x:v>
      </x:c>
      <x:c r="L56" s="24" t="n">
        <x:v>46239.666666666664</x:v>
      </x:c>
      <x:c r="M56" s="23" t="str">
        <x:v>City research rank 1. Public professional first name used on the official site.</x:v>
      </x:c>
    </x:row>
    <x:row r="57" ht="43.5" customHeight="1">
      <x:c r="A57" s="23" t="str">
        <x:v>San Francisco Bay Area</x:v>
      </x:c>
      <x:c r="B57" s="23" t="n">
        <x:v>2</x:v>
      </x:c>
      <x:c r="C57" s="23" t="str">
        <x:v>Michael Metzger</x:v>
      </x:c>
      <x:c r="D57" s="23" t="str">
        <x:v>Sundance Saloon</x:v>
      </x:c>
      <x:c r="E57" s="23" t="str">
        <x:v>info@sundancesaloon.org</x:v>
      </x:c>
      <x:c r="F57" s="25" t="str"/>
      <x:c r="G57" s="25" t="str"/>
      <x:c r="H57" s="23" t="str">
        <x:v>Email</x:v>
      </x:c>
      <x:c r="I57" s="23" t="str">
        <x:v>Prominent Bay Area instructor and choreographer with nearly 30 published dances and broad video reach.</x:v>
      </x:c>
      <x:c r="J57" s="25" t="str">
        <x:v>https://www.sundancesaloon.org/lessons.html</x:v>
      </x:c>
      <x:c r="K57" s="23" t="str">
        <x:v>Verified official site</x:v>
      </x:c>
      <x:c r="L57" s="24" t="n">
        <x:v>46239.666666666664</x:v>
      </x:c>
      <x:c r="M57" s="23" t="str">
        <x:v>City research rank 2.</x:v>
      </x:c>
    </x:row>
    <x:row r="58" ht="43.5" customHeight="1">
      <x:c r="A58" s="23" t="str">
        <x:v>San Francisco Bay Area</x:v>
      </x:c>
      <x:c r="B58" s="23" t="n">
        <x:v>3</x:v>
      </x:c>
      <x:c r="C58" s="23" t="str">
        <x:v>Sean</x:v>
      </x:c>
      <x:c r="D58" s="23" t="str">
        <x:v>Lower Haight Line Dancing</x:v>
      </x:c>
      <x:c r="E58" s="23" t="str">
        <x:v>howdy@linedancesf.com</x:v>
      </x:c>
      <x:c r="F58" s="25" t="str">
        <x:v>https://www.instagram.com/lowerhaightlinedancing/</x:v>
      </x:c>
      <x:c r="G58" s="25" t="str"/>
      <x:c r="H58" s="23" t="str">
        <x:v>Email</x:v>
      </x:c>
      <x:c r="I58" s="23" t="str">
        <x:v>Co-leads a visible San Francisco program that reports events ranging from small classes to 2,000 attendees.</x:v>
      </x:c>
      <x:c r="J58" s="25" t="str">
        <x:v>https://linedancesf.com/</x:v>
      </x:c>
      <x:c r="K58" s="23" t="str">
        <x:v>Verified official site</x:v>
      </x:c>
      <x:c r="L58" s="24" t="n">
        <x:v>46239.666666666664</x:v>
      </x:c>
      <x:c r="M58" s="23" t="str">
        <x:v>City research rank 3. Public professional first name used on the official site.</x:v>
      </x:c>
    </x:row>
    <x:row r="59" ht="43.5" customHeight="1">
      <x:c r="A59" s="23" t="str">
        <x:v>San Francisco Bay Area</x:v>
      </x:c>
      <x:c r="B59" s="23" t="n">
        <x:v>4</x:v>
      </x:c>
      <x:c r="C59" s="23" t="str">
        <x:v>Joel</x:v>
      </x:c>
      <x:c r="D59" s="23" t="str">
        <x:v>Lower Haight Line Dancing</x:v>
      </x:c>
      <x:c r="E59" s="23" t="str">
        <x:v>howdy@linedancesf.com</x:v>
      </x:c>
      <x:c r="F59" s="25" t="str">
        <x:v>https://www.instagram.com/lowerhaightlinedancing/</x:v>
      </x:c>
      <x:c r="G59" s="25" t="str"/>
      <x:c r="H59" s="23" t="str">
        <x:v>Email</x:v>
      </x:c>
      <x:c r="I59" s="23" t="str">
        <x:v>Co-leads a visible San Francisco program that reports events ranging from small classes to 2,000 attendees.</x:v>
      </x:c>
      <x:c r="J59" s="25" t="str">
        <x:v>https://linedancesf.com/</x:v>
      </x:c>
      <x:c r="K59" s="23" t="str">
        <x:v>Verified official site</x:v>
      </x:c>
      <x:c r="L59" s="24" t="n">
        <x:v>46239.666666666664</x:v>
      </x:c>
      <x:c r="M59" s="23" t="str">
        <x:v>City research rank 4. Public professional first name used on the official site.</x:v>
      </x:c>
    </x:row>
    <x:row r="60" ht="43.5" customHeight="1">
      <x:c r="A60" s="23" t="str">
        <x:v>San Francisco Bay Area</x:v>
      </x:c>
      <x:c r="B60" s="23" t="n">
        <x:v>5</x:v>
      </x:c>
      <x:c r="C60" s="23" t="str">
        <x:v>Sheila Schlicht</x:v>
      </x:c>
      <x:c r="D60" s="23" t="str">
        <x:v>Sundance Saloon</x:v>
      </x:c>
      <x:c r="E60" s="23" t="str">
        <x:v>info@sundancesaloon.org</x:v>
      </x:c>
      <x:c r="F60" s="25" t="str"/>
      <x:c r="G60" s="25" t="str"/>
      <x:c r="H60" s="23" t="str">
        <x:v>Email</x:v>
      </x:c>
      <x:c r="I60" s="23" t="str">
        <x:v>Current instructor at one of San Francisco's best-known line dance organizations.</x:v>
      </x:c>
      <x:c r="J60" s="25" t="str">
        <x:v>https://www.sundancesaloon.org/lessons.html</x:v>
      </x:c>
      <x:c r="K60" s="23" t="str">
        <x:v>Verified official site</x:v>
      </x:c>
      <x:c r="L60" s="24" t="n">
        <x:v>46239.666666666664</x:v>
      </x:c>
      <x:c r="M60" s="23" t="str">
        <x:v>City research rank 5.</x:v>
      </x:c>
    </x:row>
    <x:row r="61" ht="43.5" customHeight="1">
      <x:c r="A61" s="23" t="str">
        <x:v>San Francisco Bay Area</x:v>
      </x:c>
      <x:c r="B61" s="23" t="n">
        <x:v>6</x:v>
      </x:c>
      <x:c r="C61" s="23" t="str">
        <x:v>Randy Pocius</x:v>
      </x:c>
      <x:c r="D61" s="23" t="str">
        <x:v>Sundance Saloon</x:v>
      </x:c>
      <x:c r="E61" s="23" t="str">
        <x:v>info@sundancesaloon.org</x:v>
      </x:c>
      <x:c r="F61" s="25" t="str"/>
      <x:c r="G61" s="25" t="str"/>
      <x:c r="H61" s="23" t="str">
        <x:v>Email</x:v>
      </x:c>
      <x:c r="I61" s="23" t="str">
        <x:v>Current instructor at one of San Francisco's best-known line dance organizations.</x:v>
      </x:c>
      <x:c r="J61" s="25" t="str">
        <x:v>https://www.sundancesaloon.org/lessons.html</x:v>
      </x:c>
      <x:c r="K61" s="23" t="str">
        <x:v>Verified official site</x:v>
      </x:c>
      <x:c r="L61" s="24" t="n">
        <x:v>46239.666666666664</x:v>
      </x:c>
      <x:c r="M61" s="23" t="str">
        <x:v>City research rank 6.</x:v>
      </x:c>
    </x:row>
    <x:row r="62" ht="43.5" customHeight="1">
      <x:c r="A62" s="23" t="str">
        <x:v>San Francisco Bay Area</x:v>
      </x:c>
      <x:c r="B62" s="23" t="n">
        <x:v>7</x:v>
      </x:c>
      <x:c r="C62" s="23" t="str">
        <x:v>Vince Avallone</x:v>
      </x:c>
      <x:c r="D62" s="23" t="str">
        <x:v>Sundance Saloon</x:v>
      </x:c>
      <x:c r="E62" s="23" t="str">
        <x:v>info@sundancesaloon.org</x:v>
      </x:c>
      <x:c r="F62" s="25" t="str"/>
      <x:c r="G62" s="25" t="str"/>
      <x:c r="H62" s="23" t="str">
        <x:v>Email</x:v>
      </x:c>
      <x:c r="I62" s="23" t="str">
        <x:v>Current instructor at one of San Francisco's best-known line dance organizations.</x:v>
      </x:c>
      <x:c r="J62" s="25" t="str">
        <x:v>https://www.sundancesaloon.org/lessons.html</x:v>
      </x:c>
      <x:c r="K62" s="23" t="str">
        <x:v>Verified official site</x:v>
      </x:c>
      <x:c r="L62" s="24" t="n">
        <x:v>46239.666666666664</x:v>
      </x:c>
      <x:c r="M62" s="23" t="str">
        <x:v>City research rank 7.</x:v>
      </x:c>
    </x:row>
    <x:row r="63" ht="43.5" customHeight="1">
      <x:c r="A63" s="23" t="str">
        <x:v>San Francisco Bay Area</x:v>
      </x:c>
      <x:c r="B63" s="23" t="n">
        <x:v>8</x:v>
      </x:c>
      <x:c r="C63" s="23" t="str">
        <x:v>Nanci</x:v>
      </x:c>
      <x:c r="D63" s="23" t="str">
        <x:v>Dancing With Nanci</x:v>
      </x:c>
      <x:c r="E63" s="23" t="str"/>
      <x:c r="F63" s="25" t="str"/>
      <x:c r="G63" s="25" t="str"/>
      <x:c r="H63" s="23" t="str">
        <x:v>Phone</x:v>
      </x:c>
      <x:c r="I63" s="23" t="str">
        <x:v>Long-running South Bay instructor with current public classes and former major-venue experience.</x:v>
      </x:c>
      <x:c r="J63" s="25" t="str">
        <x:v>https://dancingwithnanci.com/</x:v>
      </x:c>
      <x:c r="K63" s="23" t="str">
        <x:v>Verified official site</x:v>
      </x:c>
      <x:c r="L63" s="24" t="n">
        <x:v>46239.666666666664</x:v>
      </x:c>
      <x:c r="M63" s="23" t="str">
        <x:v>City research rank 8. Public phone: 408-505-4912. Public professional first name used on the official site.</x:v>
      </x:c>
    </x:row>
    <x:row r="64" ht="43.5" customHeight="1">
      <x:c r="A64" s="23" t="str">
        <x:v>San Francisco Bay Area</x:v>
      </x:c>
      <x:c r="B64" s="23" t="n">
        <x:v>9</x:v>
      </x:c>
      <x:c r="C64" s="23" t="str">
        <x:v>Mickey Carfora</x:v>
      </x:c>
      <x:c r="D64" s="23" t="str">
        <x:v>Bay Area Queer Dance Society</x:v>
      </x:c>
      <x:c r="E64" s="23" t="str"/>
      <x:c r="F64" s="25" t="str"/>
      <x:c r="G64" s="25" t="str"/>
      <x:c r="H64" s="23" t="str">
        <x:v>Referral</x:v>
      </x:c>
      <x:c r="I64" s="23" t="str">
        <x:v>Experienced Bay Area community instructor with recurring regional event-staff visibility.</x:v>
      </x:c>
      <x:c r="J64" s="25" t="str">
        <x:v>https://raincountrydance.org/hoedown/staff</x:v>
      </x:c>
      <x:c r="K64" s="23" t="str">
        <x:v>Venue or event route</x:v>
      </x:c>
      <x:c r="L64" s="24" t="n">
        <x:v>46239.666666666664</x:v>
      </x:c>
      <x:c r="M64" s="23" t="str">
        <x:v>City research rank 9.</x:v>
      </x:c>
    </x:row>
    <x:row r="65" ht="43.5" customHeight="1">
      <x:c r="A65" s="23" t="str">
        <x:v>San Francisco Bay Area</x:v>
      </x:c>
      <x:c r="B65" s="23" t="n">
        <x:v>10</x:v>
      </x:c>
      <x:c r="C65" s="23" t="str">
        <x:v>Leo Orringer</x:v>
      </x:c>
      <x:c r="D65" s="23" t="str">
        <x:v>SCUFF and Bay Area community events</x:v>
      </x:c>
      <x:c r="E65" s="23" t="str"/>
      <x:c r="F65" s="25" t="str"/>
      <x:c r="G65" s="25" t="str"/>
      <x:c r="H65" s="23" t="str">
        <x:v>Referral</x:v>
      </x:c>
      <x:c r="I65" s="23" t="str">
        <x:v>Oakland-area instructor with recurring regional event-staff visibility.</x:v>
      </x:c>
      <x:c r="J65" s="25" t="str">
        <x:v>https://raincountrydance.org/hoedown/staff</x:v>
      </x:c>
      <x:c r="K65" s="23" t="str">
        <x:v>Venue or event route</x:v>
      </x:c>
      <x:c r="L65" s="24" t="n">
        <x:v>46239.666666666664</x:v>
      </x:c>
      <x:c r="M65" s="23" t="str">
        <x:v>City research rank 10.</x:v>
      </x:c>
    </x:row>
    <x:row r="66" ht="43.5" customHeight="1">
      <x:c r="A66" s="23" t="str">
        <x:v>New York City metro</x:v>
      </x:c>
      <x:c r="B66" s="23" t="n">
        <x:v>1</x:v>
      </x:c>
      <x:c r="C66" s="23" t="str">
        <x:v>Jenn</x:v>
      </x:c>
      <x:c r="D66" s="23" t="str">
        <x:v>Country City Line Dancing</x:v>
      </x:c>
      <x:c r="E66" s="23" t="str">
        <x:v>Jenn@Countrycityny.com</x:v>
      </x:c>
      <x:c r="F66" s="25" t="str">
        <x:v>https://www.instagram.com/countrycitylinedancing/</x:v>
      </x:c>
      <x:c r="G66" s="25" t="str">
        <x:v>https://www.tiktok.com/@countrycitylinedancing</x:v>
      </x:c>
      <x:c r="H66" s="23" t="str">
        <x:v>Email</x:v>
      </x:c>
      <x:c r="I66" s="23" t="str">
        <x:v>High-leverage NYC metro instructor serving all five boroughs and surrounding suburban markets.</x:v>
      </x:c>
      <x:c r="J66" s="25" t="str">
        <x:v>https://www.countrycityny.com/</x:v>
      </x:c>
      <x:c r="K66" s="23" t="str">
        <x:v>Verified official site</x:v>
      </x:c>
      <x:c r="L66" s="24" t="n">
        <x:v>46239.666666666664</x:v>
      </x:c>
      <x:c r="M66" s="23" t="str">
        <x:v>City research rank 1. Public professional first name used on the official site.</x:v>
      </x:c>
    </x:row>
    <x:row r="67" ht="43.5" customHeight="1">
      <x:c r="A67" s="23" t="str">
        <x:v>New York City metro</x:v>
      </x:c>
      <x:c r="B67" s="23" t="n">
        <x:v>2</x:v>
      </x:c>
      <x:c r="C67" s="23" t="str">
        <x:v>Pony</x:v>
      </x:c>
      <x:c r="D67" s="23" t="str">
        <x:v>Do Si Don'tcha</x:v>
      </x:c>
      <x:c r="E67" s="23" t="str">
        <x:v>info@dosidontcha.world</x:v>
      </x:c>
      <x:c r="F67" s="25" t="str">
        <x:v>https://www.instagram.com/ponyandparis/</x:v>
      </x:c>
      <x:c r="G67" s="25" t="str">
        <x:v>https://www.tiktok.com/@ponyandparis</x:v>
      </x:c>
      <x:c r="H67" s="23" t="str">
        <x:v>Email</x:v>
      </x:c>
      <x:c r="I67" s="23" t="str">
        <x:v>Co-leads a recognizable NYC country dance brand with active public social channels.</x:v>
      </x:c>
      <x:c r="J67" s="25" t="str">
        <x:v>https://www.dosidontcha.world/</x:v>
      </x:c>
      <x:c r="K67" s="23" t="str">
        <x:v>Verified official site</x:v>
      </x:c>
      <x:c r="L67" s="24" t="n">
        <x:v>46239.666666666664</x:v>
      </x:c>
      <x:c r="M67" s="23" t="str">
        <x:v>City research rank 2. Public professional name used by the official brand.</x:v>
      </x:c>
    </x:row>
    <x:row r="68" ht="43.5" customHeight="1">
      <x:c r="A68" s="23" t="str">
        <x:v>New York City metro</x:v>
      </x:c>
      <x:c r="B68" s="23" t="n">
        <x:v>3</x:v>
      </x:c>
      <x:c r="C68" s="23" t="str">
        <x:v>Paris</x:v>
      </x:c>
      <x:c r="D68" s="23" t="str">
        <x:v>Do Si Don'tcha</x:v>
      </x:c>
      <x:c r="E68" s="23" t="str">
        <x:v>info@dosidontcha.world</x:v>
      </x:c>
      <x:c r="F68" s="25" t="str">
        <x:v>https://www.instagram.com/ponyandparis/</x:v>
      </x:c>
      <x:c r="G68" s="25" t="str">
        <x:v>https://www.tiktok.com/@ponyandparis</x:v>
      </x:c>
      <x:c r="H68" s="23" t="str">
        <x:v>Email</x:v>
      </x:c>
      <x:c r="I68" s="23" t="str">
        <x:v>Co-leads a recognizable NYC country dance brand with active public social channels.</x:v>
      </x:c>
      <x:c r="J68" s="25" t="str">
        <x:v>https://www.dosidontcha.world/</x:v>
      </x:c>
      <x:c r="K68" s="23" t="str">
        <x:v>Verified official site</x:v>
      </x:c>
      <x:c r="L68" s="24" t="n">
        <x:v>46239.666666666664</x:v>
      </x:c>
      <x:c r="M68" s="23" t="str">
        <x:v>City research rank 3. Public professional name used by the official brand.</x:v>
      </x:c>
    </x:row>
    <x:row r="69" ht="43.5" customHeight="1">
      <x:c r="A69" s="23" t="str">
        <x:v>New York City metro</x:v>
      </x:c>
      <x:c r="B69" s="23" t="n">
        <x:v>4</x:v>
      </x:c>
      <x:c r="C69" s="23" t="str">
        <x:v>Rona Kaye</x:v>
      </x:c>
      <x:c r="D69" s="23" t="str">
        <x:v>Rona Kaye Line Dance</x:v>
      </x:c>
      <x:c r="E69" s="23" t="str">
        <x:v>RonaKaye112@Yahoo.com</x:v>
      </x:c>
      <x:c r="F69" s="25" t="str"/>
      <x:c r="G69" s="25" t="str"/>
      <x:c r="H69" s="23" t="str">
        <x:v>Email</x:v>
      </x:c>
      <x:c r="I69" s="23" t="str">
        <x:v>Long-running Manhattan instructor with a direct public email and established local presence.</x:v>
      </x:c>
      <x:c r="J69" s="25" t="str">
        <x:v>https://ronakaye.com/location/</x:v>
      </x:c>
      <x:c r="K69" s="23" t="str">
        <x:v>Verified official site</x:v>
      </x:c>
      <x:c r="L69" s="24" t="n">
        <x:v>46239.666666666664</x:v>
      </x:c>
      <x:c r="M69" s="23" t="str">
        <x:v>City research rank 4.</x:v>
      </x:c>
    </x:row>
    <x:row r="70" ht="43.5" customHeight="1">
      <x:c r="A70" s="23" t="str">
        <x:v>New York City metro</x:v>
      </x:c>
      <x:c r="B70" s="23" t="n">
        <x:v>5</x:v>
      </x:c>
      <x:c r="C70" s="23" t="str">
        <x:v>Deanna</x:v>
      </x:c>
      <x:c r="D70" s="23" t="str">
        <x:v>Dancing With Deanna</x:v>
      </x:c>
      <x:c r="E70" s="23" t="str"/>
      <x:c r="F70" s="25" t="str"/>
      <x:c r="G70" s="25" t="str"/>
      <x:c r="H70" s="23" t="str">
        <x:v>Contact form</x:v>
      </x:c>
      <x:c r="I70" s="23" t="str">
        <x:v>Visible Long Island instructor with a dedicated booking site and current local programming.</x:v>
      </x:c>
      <x:c r="J70" s="25" t="str">
        <x:v>https://www.dancingwithdeanna.com/</x:v>
      </x:c>
      <x:c r="K70" s="23" t="str">
        <x:v>Verified official site</x:v>
      </x:c>
      <x:c r="L70" s="24" t="n">
        <x:v>46239.666666666664</x:v>
      </x:c>
      <x:c r="M70" s="23" t="str">
        <x:v>City research rank 5. Public professional first name used on the official site.</x:v>
      </x:c>
    </x:row>
    <x:row r="71" ht="43.5" customHeight="1">
      <x:c r="A71" s="23" t="str">
        <x:v>New York City metro</x:v>
      </x:c>
      <x:c r="B71" s="23" t="n">
        <x:v>6</x:v>
      </x:c>
      <x:c r="C71" s="23" t="str">
        <x:v>Lynn Robles</x:v>
      </x:c>
      <x:c r="D71" s="23" t="str">
        <x:v>Line Dancing With Lynn</x:v>
      </x:c>
      <x:c r="E71" s="23" t="str"/>
      <x:c r="F71" s="25" t="str"/>
      <x:c r="G71" s="25" t="str"/>
      <x:c r="H71" s="23" t="str">
        <x:v>Contact form</x:v>
      </x:c>
      <x:c r="I71" s="23" t="str">
        <x:v>Current Long Island instructor with weekly teaching and guest-event visibility.</x:v>
      </x:c>
      <x:c r="J71" s="25" t="str">
        <x:v>https://www.linedancingwithlynn.com/about</x:v>
      </x:c>
      <x:c r="K71" s="23" t="str">
        <x:v>Verified official site</x:v>
      </x:c>
      <x:c r="L71" s="24" t="n">
        <x:v>46239.666666666664</x:v>
      </x:c>
      <x:c r="M71" s="23" t="str">
        <x:v>City research rank 6.</x:v>
      </x:c>
    </x:row>
    <x:row r="72" ht="43.5" customHeight="1">
      <x:c r="A72" s="23" t="str">
        <x:v>New York City metro</x:v>
      </x:c>
      <x:c r="B72" s="23" t="n">
        <x:v>7</x:v>
      </x:c>
      <x:c r="C72" s="23" t="str">
        <x:v>Jenn Demeo</x:v>
      </x:c>
      <x:c r="D72" s="23" t="str">
        <x:v>Line Dancing With Jenn</x:v>
      </x:c>
      <x:c r="E72" s="23" t="str">
        <x:v>linedancingwithjenn@aol.com</x:v>
      </x:c>
      <x:c r="F72" s="25" t="str"/>
      <x:c r="G72" s="25" t="str"/>
      <x:c r="H72" s="23" t="str">
        <x:v>Email</x:v>
      </x:c>
      <x:c r="I72" s="23" t="str">
        <x:v>Current Long Island calendar presence with direct public email and phone.</x:v>
      </x:c>
      <x:c r="J72" s="25" t="str">
        <x:v>https://www.thedancecalendar.com/_files/ugd/bda0a7_0b705d757eb74aaf91c8ed6434b727a8.pdf</x:v>
      </x:c>
      <x:c r="K72" s="23" t="str">
        <x:v>Verified association list</x:v>
      </x:c>
      <x:c r="L72" s="24" t="n">
        <x:v>46239.666666666664</x:v>
      </x:c>
      <x:c r="M72" s="23" t="str">
        <x:v>City research rank 7. Public phone: 631-875-0433.</x:v>
      </x:c>
    </x:row>
    <x:row r="73" ht="43.5" customHeight="1">
      <x:c r="A73" s="23" t="str">
        <x:v>New York City metro</x:v>
      </x:c>
      <x:c r="B73" s="23" t="n">
        <x:v>8</x:v>
      </x:c>
      <x:c r="C73" s="23" t="str">
        <x:v>Elena</x:v>
      </x:c>
      <x:c r="D73" s="23" t="str">
        <x:v>Line Dance With Elena</x:v>
      </x:c>
      <x:c r="E73" s="23" t="str">
        <x:v>linedancewithelena@aol.com</x:v>
      </x:c>
      <x:c r="F73" s="25" t="str"/>
      <x:c r="G73" s="25" t="str"/>
      <x:c r="H73" s="23" t="str">
        <x:v>Email</x:v>
      </x:c>
      <x:c r="I73" s="23" t="str">
        <x:v>Current Long Island line dance association listing with a direct public email and phone.</x:v>
      </x:c>
      <x:c r="J73" s="25" t="str">
        <x:v>https://licma.org/</x:v>
      </x:c>
      <x:c r="K73" s="23" t="str">
        <x:v>Verified association list</x:v>
      </x:c>
      <x:c r="L73" s="24" t="n">
        <x:v>46239.666666666664</x:v>
      </x:c>
      <x:c r="M73" s="23" t="str">
        <x:v>City research rank 8. Public phone: 631-834-1024. Public professional first name used in the listing.</x:v>
      </x:c>
    </x:row>
    <x:row r="74" ht="43.5" customHeight="1">
      <x:c r="A74" s="23" t="str">
        <x:v>New York City metro</x:v>
      </x:c>
      <x:c r="B74" s="23" t="n">
        <x:v>9</x:v>
      </x:c>
      <x:c r="C74" s="23" t="str">
        <x:v>Bill Iozzino</x:v>
      </x:c>
      <x:c r="D74" s="23" t="str">
        <x:v>Independent Long Island Instructor</x:v>
      </x:c>
      <x:c r="E74" s="23" t="str">
        <x:v>Mordain5@aol.com</x:v>
      </x:c>
      <x:c r="F74" s="25" t="str"/>
      <x:c r="G74" s="25" t="str"/>
      <x:c r="H74" s="23" t="str">
        <x:v>Email</x:v>
      </x:c>
      <x:c r="I74" s="23" t="str">
        <x:v>Current Long Island line dance association listing with a direct public email and phone.</x:v>
      </x:c>
      <x:c r="J74" s="25" t="str">
        <x:v>https://licma.org/</x:v>
      </x:c>
      <x:c r="K74" s="23" t="str">
        <x:v>Verified association list</x:v>
      </x:c>
      <x:c r="L74" s="24" t="n">
        <x:v>46239.666666666664</x:v>
      </x:c>
      <x:c r="M74" s="23" t="str">
        <x:v>City research rank 9. Public phone: 631-745-8560.</x:v>
      </x:c>
    </x:row>
    <x:row r="75" ht="43.5" customHeight="1">
      <x:c r="A75" s="23" t="str">
        <x:v>New York City metro</x:v>
      </x:c>
      <x:c r="B75" s="23" t="n">
        <x:v>10</x:v>
      </x:c>
      <x:c r="C75" s="23" t="str">
        <x:v>Greg Saltzman</x:v>
      </x:c>
      <x:c r="D75" s="23" t="str">
        <x:v>Salty Cowboy</x:v>
      </x:c>
      <x:c r="E75" s="23" t="str">
        <x:v>saltycowboyny@gmail.com</x:v>
      </x:c>
      <x:c r="F75" s="25" t="str"/>
      <x:c r="G75" s="25" t="str"/>
      <x:c r="H75" s="23" t="str">
        <x:v>Email</x:v>
      </x:c>
      <x:c r="I75" s="23" t="str">
        <x:v>Current regional dance-calendar listing with a named brand and direct public email.</x:v>
      </x:c>
      <x:c r="J75" s="25" t="str">
        <x:v>https://www.thedancecalendar.com/_files/ugd/bda0a7_0b705d757eb74aaf91c8ed6434b727a8.pdf</x:v>
      </x:c>
      <x:c r="K75" s="23" t="str">
        <x:v>Verified association list</x:v>
      </x:c>
      <x:c r="L75" s="24" t="n">
        <x:v>46239.666666666664</x:v>
      </x:c>
      <x:c r="M75" s="23" t="str">
        <x:v>City research rank 10. Public phone: 631-704-5092.</x:v>
      </x:c>
    </x:row>
    <x:row r="76" ht="43.5" customHeight="1">
      <x:c r="A76" s="23" t="str">
        <x:v>Phoenix and Scottsdale</x:v>
      </x:c>
      <x:c r="B76" s="23" t="n">
        <x:v>1</x:v>
      </x:c>
      <x:c r="C76" s="23" t="str">
        <x:v>Adam Herbel</x:v>
      </x:c>
      <x:c r="D76" s="23" t="str">
        <x:v>Adam the Dancing Cowboy</x:v>
      </x:c>
      <x:c r="E76" s="23" t="str">
        <x:v>arizona@dancingcowboy.com</x:v>
      </x:c>
      <x:c r="F76" s="25" t="str">
        <x:v>https://www.instagram.com/dancingcowboy/</x:v>
      </x:c>
      <x:c r="G76" s="25" t="str"/>
      <x:c r="H76" s="23" t="str">
        <x:v>Email</x:v>
      </x:c>
      <x:c r="I76" s="23" t="str">
        <x:v>Visible Arizona country dance instructor with more than 15 years of experience, media coverage, and major event clients.</x:v>
      </x:c>
      <x:c r="J76" s="25" t="str">
        <x:v>https://www.arizonacountrydj.com/</x:v>
      </x:c>
      <x:c r="K76" s="23" t="str">
        <x:v>Verified official site</x:v>
      </x:c>
      <x:c r="L76" s="24" t="n">
        <x:v>46239.666666666664</x:v>
      </x:c>
      <x:c r="M76" s="23" t="str">
        <x:v>City research rank 1.</x:v>
      </x:c>
    </x:row>
    <x:row r="77" ht="43.5" customHeight="1">
      <x:c r="A77" s="23" t="str">
        <x:v>Phoenix and Scottsdale</x:v>
      </x:c>
      <x:c r="B77" s="23" t="n">
        <x:v>2</x:v>
      </x:c>
      <x:c r="C77" s="23" t="str">
        <x:v>Jackie</x:v>
      </x:c>
      <x:c r="D77" s="23" t="str">
        <x:v>Line Dance With Jackie AZ</x:v>
      </x:c>
      <x:c r="E77" s="23" t="str">
        <x:v>kileyjj72@gmail.com</x:v>
      </x:c>
      <x:c r="F77" s="25" t="str">
        <x:v>https://www.instagram.com/jj_kiley/</x:v>
      </x:c>
      <x:c r="G77" s="25" t="str"/>
      <x:c r="H77" s="23" t="str">
        <x:v>Email</x:v>
      </x:c>
      <x:c r="I77" s="23" t="str">
        <x:v>Current Phoenix-area instructor with event services spanning Scottsdale, Tempe, Mesa, Chandler, and Glendale.</x:v>
      </x:c>
      <x:c r="J77" s="25" t="str">
        <x:v>https://www.linedancewithjackieaz.com/</x:v>
      </x:c>
      <x:c r="K77" s="23" t="str">
        <x:v>Verified official site</x:v>
      </x:c>
      <x:c r="L77" s="24" t="n">
        <x:v>46239.666666666664</x:v>
      </x:c>
      <x:c r="M77" s="23" t="str">
        <x:v>City research rank 2. Public professional first name used on the official site.</x:v>
      </x:c>
    </x:row>
    <x:row r="78" ht="43.5" customHeight="1">
      <x:c r="A78" s="23" t="str">
        <x:v>Phoenix and Scottsdale</x:v>
      </x:c>
      <x:c r="B78" s="23" t="n">
        <x:v>3</x:v>
      </x:c>
      <x:c r="C78" s="23" t="str">
        <x:v>Roy Johnson</x:v>
      </x:c>
      <x:c r="D78" s="23" t="str">
        <x:v>Fatcat Ballroom</x:v>
      </x:c>
      <x:c r="E78" s="23" t="str">
        <x:v>hello@fatcatballroom.com</x:v>
      </x:c>
      <x:c r="F78" s="25" t="str"/>
      <x:c r="G78" s="25" t="str"/>
      <x:c r="H78" s="23" t="str">
        <x:v>Email</x:v>
      </x:c>
      <x:c r="I78" s="23" t="str">
        <x:v>Five-time UCWDC world champion teaching through a current Phoenix-area studio.</x:v>
      </x:c>
      <x:c r="J78" s="25" t="str">
        <x:v>https://www.fatcatballroom.com/dance-instructor/sharon-and-roy</x:v>
      </x:c>
      <x:c r="K78" s="23" t="str">
        <x:v>Verified official site</x:v>
      </x:c>
      <x:c r="L78" s="24" t="n">
        <x:v>46239.666666666664</x:v>
      </x:c>
      <x:c r="M78" s="23" t="str">
        <x:v>City research rank 3.</x:v>
      </x:c>
    </x:row>
    <x:row r="79" ht="43.5" customHeight="1">
      <x:c r="A79" s="23" t="str">
        <x:v>Phoenix and Scottsdale</x:v>
      </x:c>
      <x:c r="B79" s="23" t="n">
        <x:v>4</x:v>
      </x:c>
      <x:c r="C79" s="23" t="str">
        <x:v>Sharon Johnson</x:v>
      </x:c>
      <x:c r="D79" s="23" t="str">
        <x:v>Fatcat Ballroom</x:v>
      </x:c>
      <x:c r="E79" s="23" t="str">
        <x:v>hello@fatcatballroom.com</x:v>
      </x:c>
      <x:c r="F79" s="25" t="str"/>
      <x:c r="G79" s="25" t="str"/>
      <x:c r="H79" s="23" t="str">
        <x:v>Email</x:v>
      </x:c>
      <x:c r="I79" s="23" t="str">
        <x:v>Champion instructor and certified judge teaching through a current Phoenix-area studio.</x:v>
      </x:c>
      <x:c r="J79" s="25" t="str">
        <x:v>https://www.fatcatballroom.com/dance-instructor/sharon-and-roy</x:v>
      </x:c>
      <x:c r="K79" s="23" t="str">
        <x:v>Verified official site</x:v>
      </x:c>
      <x:c r="L79" s="24" t="n">
        <x:v>46239.666666666664</x:v>
      </x:c>
      <x:c r="M79" s="23" t="str">
        <x:v>City research rank 4.</x:v>
      </x:c>
    </x:row>
    <x:row r="80" ht="43.5" customHeight="1">
      <x:c r="A80" s="23" t="str">
        <x:v>Phoenix and Scottsdale</x:v>
      </x:c>
      <x:c r="B80" s="23" t="n">
        <x:v>5</x:v>
      </x:c>
      <x:c r="C80" s="23" t="str">
        <x:v>Thomas</x:v>
      </x:c>
      <x:c r="D80" s="23" t="str">
        <x:v>Honky Tonk Heaven AZ</x:v>
      </x:c>
      <x:c r="E80" s="23" t="str">
        <x:v>howdy@honkytonkheavenaz.com</x:v>
      </x:c>
      <x:c r="F80" s="25" t="str"/>
      <x:c r="G80" s="25" t="str"/>
      <x:c r="H80" s="23" t="str">
        <x:v>Email</x:v>
      </x:c>
      <x:c r="I80" s="23" t="str">
        <x:v>Co-leads a current Phoenix-area teaching brand with more than a decade of country dance experience.</x:v>
      </x:c>
      <x:c r="J80" s="25" t="str">
        <x:v>https://www.honkytonkheavenaz.com/about</x:v>
      </x:c>
      <x:c r="K80" s="23" t="str">
        <x:v>Verified official site</x:v>
      </x:c>
      <x:c r="L80" s="24" t="n">
        <x:v>46239.666666666664</x:v>
      </x:c>
      <x:c r="M80" s="23" t="str">
        <x:v>City research rank 5. Public professional first name used on the official site.</x:v>
      </x:c>
    </x:row>
    <x:row r="81" ht="43.5" customHeight="1">
      <x:c r="A81" s="23" t="str">
        <x:v>Phoenix and Scottsdale</x:v>
      </x:c>
      <x:c r="B81" s="23" t="n">
        <x:v>6</x:v>
      </x:c>
      <x:c r="C81" s="23" t="str">
        <x:v>Kelzey</x:v>
      </x:c>
      <x:c r="D81" s="23" t="str">
        <x:v>Honky Tonk Heaven AZ</x:v>
      </x:c>
      <x:c r="E81" s="23" t="str">
        <x:v>howdy@honkytonkheavenaz.com</x:v>
      </x:c>
      <x:c r="F81" s="25" t="str"/>
      <x:c r="G81" s="25" t="str"/>
      <x:c r="H81" s="23" t="str">
        <x:v>Email</x:v>
      </x:c>
      <x:c r="I81" s="23" t="str">
        <x:v>Co-leads a current Phoenix-area teaching brand with public classes and events.</x:v>
      </x:c>
      <x:c r="J81" s="25" t="str">
        <x:v>https://www.honkytonkheavenaz.com/about</x:v>
      </x:c>
      <x:c r="K81" s="23" t="str">
        <x:v>Verified official site</x:v>
      </x:c>
      <x:c r="L81" s="24" t="n">
        <x:v>46239.666666666664</x:v>
      </x:c>
      <x:c r="M81" s="23" t="str">
        <x:v>City research rank 6. Public professional first name used on the official site.</x:v>
      </x:c>
    </x:row>
    <x:row r="82" ht="43.5" customHeight="1">
      <x:c r="A82" s="23" t="str">
        <x:v>Phoenix and Scottsdale</x:v>
      </x:c>
      <x:c r="B82" s="23" t="n">
        <x:v>7</x:v>
      </x:c>
      <x:c r="C82" s="23" t="str">
        <x:v>Maggie</x:v>
      </x:c>
      <x:c r="D82" s="23" t="str">
        <x:v>AZ 2-Step</x:v>
      </x:c>
      <x:c r="E82" s="23" t="str">
        <x:v>maggee@azdanceclub.org</x:v>
      </x:c>
      <x:c r="F82" s="25" t="str"/>
      <x:c r="G82" s="25" t="str"/>
      <x:c r="H82" s="23" t="str">
        <x:v>Email</x:v>
      </x:c>
      <x:c r="I82" s="23" t="str">
        <x:v>Owner and instructor of a current Phoenix country dance club.</x:v>
      </x:c>
      <x:c r="J82" s="25" t="str">
        <x:v>https://azdanceclub.org/</x:v>
      </x:c>
      <x:c r="K82" s="23" t="str">
        <x:v>Verified official site</x:v>
      </x:c>
      <x:c r="L82" s="24" t="n">
        <x:v>46239.666666666664</x:v>
      </x:c>
      <x:c r="M82" s="23" t="str">
        <x:v>City research rank 7. Public professional first name used on the official site.</x:v>
      </x:c>
    </x:row>
    <x:row r="83" ht="43.5" customHeight="1">
      <x:c r="A83" s="23" t="str">
        <x:v>Phoenix and Scottsdale</x:v>
      </x:c>
      <x:c r="B83" s="23" t="n">
        <x:v>8</x:v>
      </x:c>
      <x:c r="C83" s="23" t="str">
        <x:v>Butch</x:v>
      </x:c>
      <x:c r="D83" s="23" t="str">
        <x:v>AZ 2-Step</x:v>
      </x:c>
      <x:c r="E83" s="23" t="str">
        <x:v>maggee@azdanceclub.org</x:v>
      </x:c>
      <x:c r="F83" s="25" t="str"/>
      <x:c r="G83" s="25" t="str"/>
      <x:c r="H83" s="23" t="str">
        <x:v>Email</x:v>
      </x:c>
      <x:c r="I83" s="23" t="str">
        <x:v>Current instructor at a Phoenix country dance club with recurring public programming.</x:v>
      </x:c>
      <x:c r="J83" s="25" t="str">
        <x:v>https://azdanceclub.org/</x:v>
      </x:c>
      <x:c r="K83" s="23" t="str">
        <x:v>Verified official site</x:v>
      </x:c>
      <x:c r="L83" s="24" t="n">
        <x:v>46239.666666666664</x:v>
      </x:c>
      <x:c r="M83" s="23" t="str">
        <x:v>City research rank 8. Public professional first name used on the official site.</x:v>
      </x:c>
    </x:row>
    <x:row r="84" ht="43.5" customHeight="1">
      <x:c r="A84" s="23" t="str">
        <x:v>Phoenix and Scottsdale</x:v>
      </x:c>
      <x:c r="B84" s="23" t="n">
        <x:v>9</x:v>
      </x:c>
      <x:c r="C84" s="23" t="str">
        <x:v>Alison</x:v>
      </x:c>
      <x:c r="D84" s="23" t="str">
        <x:v>Fatcat Ballroom</x:v>
      </x:c>
      <x:c r="E84" s="23" t="str">
        <x:v>hello@fatcatballroom.com</x:v>
      </x:c>
      <x:c r="F84" s="25" t="str"/>
      <x:c r="G84" s="25" t="str"/>
      <x:c r="H84" s="23" t="str">
        <x:v>Email</x:v>
      </x:c>
      <x:c r="I84" s="23" t="str">
        <x:v>Current Friday line dance instructor at a visible Phoenix-area studio.</x:v>
      </x:c>
      <x:c r="J84" s="25" t="str">
        <x:v>https://www.fatcatballroom.com/phoenix-dance-studio-adult-classes/line-dancing-fridays</x:v>
      </x:c>
      <x:c r="K84" s="23" t="str">
        <x:v>Verified official site</x:v>
      </x:c>
      <x:c r="L84" s="24" t="n">
        <x:v>46239.666666666664</x:v>
      </x:c>
      <x:c r="M84" s="23" t="str">
        <x:v>City research rank 9. Public professional first name used on the official site.</x:v>
      </x:c>
    </x:row>
    <x:row r="85" ht="43.5" customHeight="1">
      <x:c r="A85" s="23" t="str">
        <x:v>Phoenix and Scottsdale</x:v>
      </x:c>
      <x:c r="B85" s="23" t="n">
        <x:v>10</x:v>
      </x:c>
      <x:c r="C85" s="23" t="str">
        <x:v>Mona</x:v>
      </x:c>
      <x:c r="D85" s="23" t="str">
        <x:v>Shall We Dance Phoenix</x:v>
      </x:c>
      <x:c r="E85" s="23" t="str">
        <x:v>mona@shallwedancephoenix.com</x:v>
      </x:c>
      <x:c r="F85" s="25" t="str"/>
      <x:c r="G85" s="25" t="str"/>
      <x:c r="H85" s="23" t="str">
        <x:v>Email</x:v>
      </x:c>
      <x:c r="I85" s="23" t="str">
        <x:v>Phoenix dance business owner with recurring country classes and public event programming.</x:v>
      </x:c>
      <x:c r="J85" s="25" t="str">
        <x:v>https://shallwedancephoenix.com/</x:v>
      </x:c>
      <x:c r="K85" s="23" t="str">
        <x:v>Verified official site</x:v>
      </x:c>
      <x:c r="L85" s="24" t="n">
        <x:v>46239.666666666664</x:v>
      </x:c>
      <x:c r="M85" s="23" t="str">
        <x:v>City research rank 10. Public professional first name used on the official site.</x:v>
      </x:c>
    </x:row>
    <x:row r="86" ht="43.5" customHeight="1">
      <x:c r="A86" s="23" t="str">
        <x:v>Atlanta</x:v>
      </x:c>
      <x:c r="B86" s="23" t="n">
        <x:v>1</x:v>
      </x:c>
      <x:c r="C86" s="23" t="str">
        <x:v>Trè Little</x:v>
      </x:c>
      <x:c r="D86" s="23" t="str">
        <x:v>Trè Little Line Dance</x:v>
      </x:c>
      <x:c r="E86" s="23" t="str"/>
      <x:c r="F86" s="25" t="str">
        <x:v>https://www.instagram.com/yepthatsme_tre/</x:v>
      </x:c>
      <x:c r="G86" s="25" t="str"/>
      <x:c r="H86" s="23" t="str">
        <x:v>Instagram</x:v>
      </x:c>
      <x:c r="I86" s="23" t="str">
        <x:v>Atlanta creator of the viral Boots on the Ground dance, with millions of views and national teaching demand.</x:v>
      </x:c>
      <x:c r="J86" s="25" t="str">
        <x:v>https://apnews.com/article/1498fd0b9b778813f5827885d554c43e</x:v>
      </x:c>
      <x:c r="K86" s="23" t="str">
        <x:v>Verified public social</x:v>
      </x:c>
      <x:c r="L86" s="24" t="n">
        <x:v>46239.666666666664</x:v>
      </x:c>
      <x:c r="M86" s="23" t="str">
        <x:v>City research rank 1.</x:v>
      </x:c>
    </x:row>
    <x:row r="87" ht="43.5" customHeight="1">
      <x:c r="A87" s="23" t="str">
        <x:v>Atlanta</x:v>
      </x:c>
      <x:c r="B87" s="23" t="n">
        <x:v>2</x:v>
      </x:c>
      <x:c r="C87" s="23" t="str">
        <x:v>Dr. Amber Howard Mitchell</x:v>
      </x:c>
      <x:c r="D87" s="23" t="str">
        <x:v>Smooth Moves With Auntie Amber</x:v>
      </x:c>
      <x:c r="E87" s="23" t="str"/>
      <x:c r="F87" s="25" t="str">
        <x:v>https://www.instagram.com/smoothmoveswithauntieamber/</x:v>
      </x:c>
      <x:c r="G87" s="25" t="str"/>
      <x:c r="H87" s="23" t="str">
        <x:v>Instagram</x:v>
      </x:c>
      <x:c r="I87" s="23" t="str">
        <x:v>Atlanta instructor with a substantial public social audience and viral line dance visibility.</x:v>
      </x:c>
      <x:c r="J87" s="25" t="str">
        <x:v>https://influencers.club/top-influencers/line-dances/</x:v>
      </x:c>
      <x:c r="K87" s="23" t="str">
        <x:v>Verified public social</x:v>
      </x:c>
      <x:c r="L87" s="24" t="n">
        <x:v>46239.666666666664</x:v>
      </x:c>
      <x:c r="M87" s="23" t="str">
        <x:v>City research rank 2.</x:v>
      </x:c>
    </x:row>
    <x:row r="88" ht="43.5" customHeight="1">
      <x:c r="A88" s="23" t="str">
        <x:v>Atlanta</x:v>
      </x:c>
      <x:c r="B88" s="23" t="n">
        <x:v>3</x:v>
      </x:c>
      <x:c r="C88" s="23" t="str">
        <x:v>Scooter Lee</x:v>
      </x:c>
      <x:c r="D88" s="23" t="str">
        <x:v>Scooter Lee</x:v>
      </x:c>
      <x:c r="E88" s="23" t="str">
        <x:v>info@scooterlee.com</x:v>
      </x:c>
      <x:c r="F88" s="25" t="str"/>
      <x:c r="G88" s="25" t="str"/>
      <x:c r="H88" s="23" t="str">
        <x:v>Email</x:v>
      </x:c>
      <x:c r="I88" s="23" t="str">
        <x:v>Internationally recognized Atlanta-area line dance figure with a long-running public teaching catalog.</x:v>
      </x:c>
      <x:c r="J88" s="25" t="str">
        <x:v>https://www.scooterlee.com/line-dance-step-sheets/</x:v>
      </x:c>
      <x:c r="K88" s="23" t="str">
        <x:v>Verified official site</x:v>
      </x:c>
      <x:c r="L88" s="24" t="n">
        <x:v>46239.666666666664</x:v>
      </x:c>
      <x:c r="M88" s="23" t="str">
        <x:v>City research rank 3.</x:v>
      </x:c>
    </x:row>
    <x:row r="89" ht="43.5" customHeight="1">
      <x:c r="A89" s="23" t="str">
        <x:v>Atlanta</x:v>
      </x:c>
      <x:c r="B89" s="23" t="n">
        <x:v>4</x:v>
      </x:c>
      <x:c r="C89" s="23" t="str">
        <x:v>Rose Haven</x:v>
      </x:c>
      <x:c r="D89" s="23" t="str">
        <x:v>Step In Time Productions</x:v>
      </x:c>
      <x:c r="E89" s="23" t="str">
        <x:v>rose@atlantalinedance.com</x:v>
      </x:c>
      <x:c r="F89" s="25" t="str"/>
      <x:c r="G89" s="25" t="str"/>
      <x:c r="H89" s="23" t="str">
        <x:v>Email</x:v>
      </x:c>
      <x:c r="I89" s="23" t="str">
        <x:v>Atlanta instructor teaching locally since 1992 with major-venue and corporate experience.</x:v>
      </x:c>
      <x:c r="J89" s="25" t="str">
        <x:v>https://www.atlantalinedance.com/</x:v>
      </x:c>
      <x:c r="K89" s="23" t="str">
        <x:v>Verified official site</x:v>
      </x:c>
      <x:c r="L89" s="24" t="n">
        <x:v>46239.666666666664</x:v>
      </x:c>
      <x:c r="M89" s="23" t="str">
        <x:v>City research rank 4.</x:v>
      </x:c>
    </x:row>
    <x:row r="90" ht="43.5" customHeight="1">
      <x:c r="A90" s="23" t="str">
        <x:v>Atlanta</x:v>
      </x:c>
      <x:c r="B90" s="23" t="n">
        <x:v>5</x:v>
      </x:c>
      <x:c r="C90" s="23" t="str">
        <x:v>Matt Miller</x:v>
      </x:c>
      <x:c r="D90" s="23" t="str">
        <x:v>Atlanta Linedancing</x:v>
      </x:c>
      <x:c r="E90" s="23" t="str"/>
      <x:c r="F90" s="25" t="str"/>
      <x:c r="G90" s="25" t="str"/>
      <x:c r="H90" s="23" t="str">
        <x:v>Contact form</x:v>
      </x:c>
      <x:c r="I90" s="23" t="str">
        <x:v>Long-time Atlanta dancer and current instructor with active venue and community programming.</x:v>
      </x:c>
      <x:c r="J90" s="25" t="str">
        <x:v>https://visitmariettaga.com/event/line-dancing/</x:v>
      </x:c>
      <x:c r="K90" s="23" t="str">
        <x:v>Verified official site</x:v>
      </x:c>
      <x:c r="L90" s="24" t="n">
        <x:v>46239.666666666664</x:v>
      </x:c>
      <x:c r="M90" s="23" t="str">
        <x:v>City research rank 5.</x:v>
      </x:c>
    </x:row>
    <x:row r="91" ht="43.5" customHeight="1">
      <x:c r="A91" s="23" t="str">
        <x:v>Atlanta</x:v>
      </x:c>
      <x:c r="B91" s="23" t="n">
        <x:v>6</x:v>
      </x:c>
      <x:c r="C91" s="23" t="str">
        <x:v>Judy King (Ladeee J)</x:v>
      </x:c>
      <x:c r="D91" s="23" t="str">
        <x:v>LJ Fitness Services</x:v>
      </x:c>
      <x:c r="E91" s="23" t="str">
        <x:v>Info@LJFitnessSvc.com</x:v>
      </x:c>
      <x:c r="F91" s="25" t="str"/>
      <x:c r="G91" s="25" t="str"/>
      <x:c r="H91" s="23" t="str">
        <x:v>Email</x:v>
      </x:c>
      <x:c r="I91" s="23" t="str">
        <x:v>Current Metro Atlanta Soul Steppaz instructor with a differentiated wellness and events brand.</x:v>
      </x:c>
      <x:c r="J91" s="25" t="str">
        <x:v>https://www.ljfitnesssvc.com/</x:v>
      </x:c>
      <x:c r="K91" s="23" t="str">
        <x:v>Verified official site</x:v>
      </x:c>
      <x:c r="L91" s="24" t="n">
        <x:v>46239.666666666664</x:v>
      </x:c>
      <x:c r="M91" s="23" t="str">
        <x:v>City research rank 6.</x:v>
      </x:c>
    </x:row>
    <x:row r="92" ht="43.5" customHeight="1">
      <x:c r="A92" s="23" t="str">
        <x:v>Atlanta</x:v>
      </x:c>
      <x:c r="B92" s="23" t="n">
        <x:v>7</x:v>
      </x:c>
      <x:c r="C92" s="23" t="str">
        <x:v>Leslie Thompson</x:v>
      </x:c>
      <x:c r="D92" s="23" t="str">
        <x:v>Atlanta Country Nights</x:v>
      </x:c>
      <x:c r="E92" s="23" t="str"/>
      <x:c r="F92" s="25" t="str"/>
      <x:c r="G92" s="25" t="str"/>
      <x:c r="H92" s="23" t="str">
        <x:v>Referral</x:v>
      </x:c>
      <x:c r="I92" s="23" t="str">
        <x:v>Main Atlanta Country Nights instructor with roughly 27 years of teaching experience.</x:v>
      </x:c>
      <x:c r="J92" s="25" t="str">
        <x:v>https://www.georgia-country.com/crystalpeach.php</x:v>
      </x:c>
      <x:c r="K92" s="23" t="str">
        <x:v>Venue or event route</x:v>
      </x:c>
      <x:c r="L92" s="24" t="n">
        <x:v>46239.666666666664</x:v>
      </x:c>
      <x:c r="M92" s="23" t="str">
        <x:v>City research rank 7.</x:v>
      </x:c>
    </x:row>
    <x:row r="93" ht="43.5" customHeight="1">
      <x:c r="A93" s="23" t="str">
        <x:v>Atlanta</x:v>
      </x:c>
      <x:c r="B93" s="23" t="n">
        <x:v>8</x:v>
      </x:c>
      <x:c r="C93" s="23" t="str">
        <x:v>Michelle Neese</x:v>
      </x:c>
      <x:c r="D93" s="23" t="str">
        <x:v>Line Dancing With Michelle Neese</x:v>
      </x:c>
      <x:c r="E93" s="23" t="str">
        <x:v>mmneese@gmail.com</x:v>
      </x:c>
      <x:c r="F93" s="25" t="str"/>
      <x:c r="G93" s="25" t="str"/>
      <x:c r="H93" s="23" t="str">
        <x:v>Email</x:v>
      </x:c>
      <x:c r="I93" s="23" t="str">
        <x:v>Atlanta-area instructor with a dedicated public teaching site and direct email.</x:v>
      </x:c>
      <x:c r="J93" s="25" t="str">
        <x:v>https://www.linedancingwithmichelleneese.com/</x:v>
      </x:c>
      <x:c r="K93" s="23" t="str">
        <x:v>Verified official site</x:v>
      </x:c>
      <x:c r="L93" s="24" t="n">
        <x:v>46239.666666666664</x:v>
      </x:c>
      <x:c r="M93" s="23" t="str">
        <x:v>City research rank 8.</x:v>
      </x:c>
    </x:row>
    <x:row r="94" ht="43.5" customHeight="1">
      <x:c r="A94" s="23" t="str">
        <x:v>Atlanta</x:v>
      </x:c>
      <x:c r="B94" s="23" t="n">
        <x:v>9</x:v>
      </x:c>
      <x:c r="C94" s="23" t="str">
        <x:v>Frankeisha Hill</x:v>
      </x:c>
      <x:c r="D94" s="23" t="str">
        <x:v>Coach Frankie 2.0</x:v>
      </x:c>
      <x:c r="E94" s="23" t="str"/>
      <x:c r="F94" s="25" t="str">
        <x:v>https://www.instagram.com/coach_frankie2.0/</x:v>
      </x:c>
      <x:c r="G94" s="25" t="str"/>
      <x:c r="H94" s="23" t="str">
        <x:v>Instagram</x:v>
      </x:c>
      <x:c r="I94" s="23" t="str">
        <x:v>Atlanta instructor and event operator profiled for local community and private-event work.</x:v>
      </x:c>
      <x:c r="J94" s="25" t="str">
        <x:v>https://voyageatl.com/interview/daily-inspiration-meet-frankeisha-hill/</x:v>
      </x:c>
      <x:c r="K94" s="23" t="str">
        <x:v>Verified public social</x:v>
      </x:c>
      <x:c r="L94" s="24" t="n">
        <x:v>46239.666666666664</x:v>
      </x:c>
      <x:c r="M94" s="23" t="str">
        <x:v>City research rank 9.</x:v>
      </x:c>
    </x:row>
    <x:row r="95" ht="43.5" customHeight="1">
      <x:c r="A95" s="23" t="str">
        <x:v>Atlanta</x:v>
      </x:c>
      <x:c r="B95" s="23" t="n">
        <x:v>10</x:v>
      </x:c>
      <x:c r="C95" s="23" t="str">
        <x:v>Dawn Peck</x:v>
      </x:c>
      <x:c r="D95" s="23" t="str">
        <x:v>Atlanta Beltline Line Dance</x:v>
      </x:c>
      <x:c r="E95" s="23" t="str"/>
      <x:c r="F95" s="25" t="str"/>
      <x:c r="G95" s="25" t="str"/>
      <x:c r="H95" s="23" t="str">
        <x:v>Referral</x:v>
      </x:c>
      <x:c r="I95" s="23" t="str">
        <x:v>Current 2026 instructor on Atlanta Beltline public programming.</x:v>
      </x:c>
      <x:c r="J95" s="25" t="str">
        <x:v>https://beltline.org/events/6a4f0e642f531dcbcfd76931/</x:v>
      </x:c>
      <x:c r="K95" s="23" t="str">
        <x:v>Venue or event route</x:v>
      </x:c>
      <x:c r="L95" s="24" t="n">
        <x:v>46239.666666666664</x:v>
      </x:c>
      <x:c r="M95" s="23" t="str">
        <x:v>City research rank 10.</x:v>
      </x:c>
    </x:row>
    <x:row r="96" ht="43.5" customHeight="1">
      <x:c r="A96" s="23" t="str">
        <x:v>Charlotte</x:v>
      </x:c>
      <x:c r="B96" s="23" t="n">
        <x:v>1</x:v>
      </x:c>
      <x:c r="C96" s="23" t="str">
        <x:v>Mitchell Mullis</x:v>
      </x:c>
      <x:c r="D96" s="23" t="str">
        <x:v>Coyote Joe's Dance Lessons</x:v>
      </x:c>
      <x:c r="E96" s="23" t="str"/>
      <x:c r="F96" s="25" t="str"/>
      <x:c r="G96" s="25" t="str"/>
      <x:c r="H96" s="23" t="str">
        <x:v>Venue referral</x:v>
      </x:c>
      <x:c r="I96" s="23" t="str">
        <x:v>Long-running instructor at Charlotte's highest-profile country dance venue, with more than 100 lessons documented publicly.</x:v>
      </x:c>
      <x:c r="J96" s="25" t="str">
        <x:v>https://coyote-joes.com/about</x:v>
      </x:c>
      <x:c r="K96" s="23" t="str">
        <x:v>Venue or event route</x:v>
      </x:c>
      <x:c r="L96" s="24" t="n">
        <x:v>46239.666666666664</x:v>
      </x:c>
      <x:c r="M96" s="23" t="str">
        <x:v>City research rank 1. Venue phone: 704-399-4946.</x:v>
      </x:c>
    </x:row>
    <x:row r="97" ht="43.5" customHeight="1">
      <x:c r="A97" s="23" t="str">
        <x:v>Charlotte</x:v>
      </x:c>
      <x:c r="B97" s="23" t="n">
        <x:v>2</x:v>
      </x:c>
      <x:c r="C97" s="23" t="str">
        <x:v>Angie Mullis</x:v>
      </x:c>
      <x:c r="D97" s="23" t="str">
        <x:v>Coyote Joe's and Bring the Fun</x:v>
      </x:c>
      <x:c r="E97" s="23" t="str">
        <x:v>info@bringthefun.dance</x:v>
      </x:c>
      <x:c r="F97" s="25" t="str"/>
      <x:c r="G97" s="25" t="str"/>
      <x:c r="H97" s="23" t="str">
        <x:v>Email</x:v>
      </x:c>
      <x:c r="I97" s="23" t="str">
        <x:v>Long-running Charlotte instructor with major-venue recognition and regional event teaching.</x:v>
      </x:c>
      <x:c r="J97" s="25" t="str">
        <x:v>https://www.wideopencountry.com/country-line-dancing/</x:v>
      </x:c>
      <x:c r="K97" s="23" t="str">
        <x:v>Verified official site</x:v>
      </x:c>
      <x:c r="L97" s="24" t="n">
        <x:v>46239.666666666664</x:v>
      </x:c>
      <x:c r="M97" s="23" t="str">
        <x:v>City research rank 2.</x:v>
      </x:c>
    </x:row>
    <x:row r="98" ht="43.5" customHeight="1">
      <x:c r="A98" s="23" t="str">
        <x:v>Charlotte</x:v>
      </x:c>
      <x:c r="B98" s="23" t="n">
        <x:v>3</x:v>
      </x:c>
      <x:c r="C98" s="23" t="str">
        <x:v>Will Craig</x:v>
      </x:c>
      <x:c r="D98" s="23" t="str">
        <x:v>Bring the Fun</x:v>
      </x:c>
      <x:c r="E98" s="23" t="str">
        <x:v>info@bringthefun.dance</x:v>
      </x:c>
      <x:c r="F98" s="25" t="str"/>
      <x:c r="G98" s="25" t="str"/>
      <x:c r="H98" s="23" t="str">
        <x:v>Email</x:v>
      </x:c>
      <x:c r="I98" s="23" t="str">
        <x:v>Charlotte-area choreographer and instructor with Coyote Joe's and regional event visibility.</x:v>
      </x:c>
      <x:c r="J98" s="25" t="str">
        <x:v>https://bringthefun.kitlabs.us/</x:v>
      </x:c>
      <x:c r="K98" s="23" t="str">
        <x:v>Verified official site</x:v>
      </x:c>
      <x:c r="L98" s="24" t="n">
        <x:v>46239.666666666664</x:v>
      </x:c>
      <x:c r="M98" s="23" t="str">
        <x:v>City research rank 3.</x:v>
      </x:c>
    </x:row>
    <x:row r="99" ht="43.5" customHeight="1">
      <x:c r="A99" s="23" t="str">
        <x:v>Charlotte</x:v>
      </x:c>
      <x:c r="B99" s="23" t="n">
        <x:v>4</x:v>
      </x:c>
      <x:c r="C99" s="23" t="str">
        <x:v>Donna Statt</x:v>
      </x:c>
      <x:c r="D99" s="23" t="str">
        <x:v>Live Love Line</x:v>
      </x:c>
      <x:c r="E99" s="23" t="str">
        <x:v>cstatt@liveloveline.com</x:v>
      </x:c>
      <x:c r="F99" s="25" t="str"/>
      <x:c r="G99" s="25" t="str"/>
      <x:c r="H99" s="23" t="str">
        <x:v>Email</x:v>
      </x:c>
      <x:c r="I99" s="23" t="str">
        <x:v>Charlotte-area event instructor with more than 20 years of teaching experience.</x:v>
      </x:c>
      <x:c r="J99" s="25" t="str">
        <x:v>https://liveloveline.com/donna-and-craig/dancing-with-donna-and-craig</x:v>
      </x:c>
      <x:c r="K99" s="23" t="str">
        <x:v>Verified official site</x:v>
      </x:c>
      <x:c r="L99" s="24" t="n">
        <x:v>46239.666666666664</x:v>
      </x:c>
      <x:c r="M99" s="23" t="str">
        <x:v>City research rank 4.</x:v>
      </x:c>
    </x:row>
    <x:row r="100" ht="43.5" customHeight="1">
      <x:c r="A100" s="23" t="str">
        <x:v>Charlotte</x:v>
      </x:c>
      <x:c r="B100" s="23" t="n">
        <x:v>5</x:v>
      </x:c>
      <x:c r="C100" s="23" t="str">
        <x:v>Craig Statt</x:v>
      </x:c>
      <x:c r="D100" s="23" t="str">
        <x:v>Live Love Line</x:v>
      </x:c>
      <x:c r="E100" s="23" t="str">
        <x:v>cstatt@liveloveline.com</x:v>
      </x:c>
      <x:c r="F100" s="25" t="str"/>
      <x:c r="G100" s="25" t="str"/>
      <x:c r="H100" s="23" t="str">
        <x:v>Email</x:v>
      </x:c>
      <x:c r="I100" s="23" t="str">
        <x:v>Charlotte-area instructor and event director with more than 15 years of experience.</x:v>
      </x:c>
      <x:c r="J100" s="25" t="str">
        <x:v>https://liveloveline.com/donna-and-craig/dancing-with-donna-and-craig</x:v>
      </x:c>
      <x:c r="K100" s="23" t="str">
        <x:v>Verified official site</x:v>
      </x:c>
      <x:c r="L100" s="24" t="n">
        <x:v>46239.666666666664</x:v>
      </x:c>
      <x:c r="M100" s="23" t="str">
        <x:v>City research rank 5.</x:v>
      </x:c>
    </x:row>
    <x:row r="101" ht="43.5" customHeight="1">
      <x:c r="A101" s="23" t="str">
        <x:v>Charlotte</x:v>
      </x:c>
      <x:c r="B101" s="23" t="n">
        <x:v>6</x:v>
      </x:c>
      <x:c r="C101" s="23" t="str">
        <x:v>Geraldine</x:v>
      </x:c>
      <x:c r="D101" s="23" t="str">
        <x:v>Line Dancing With Geraldine</x:v>
      </x:c>
      <x:c r="E101" s="23" t="str">
        <x:v>linedancingwithgeraldine@gmail.com</x:v>
      </x:c>
      <x:c r="F101" s="25" t="str"/>
      <x:c r="G101" s="25" t="str"/>
      <x:c r="H101" s="23" t="str">
        <x:v>Email</x:v>
      </x:c>
      <x:c r="I101" s="23" t="str">
        <x:v>Current Charlotte instructor with direct group-booking language, email, and phone.</x:v>
      </x:c>
      <x:c r="J101" s="25" t="str">
        <x:v>https://linedancingwithgeraldine.com/</x:v>
      </x:c>
      <x:c r="K101" s="23" t="str">
        <x:v>Verified official site</x:v>
      </x:c>
      <x:c r="L101" s="24" t="n">
        <x:v>46239.666666666664</x:v>
      </x:c>
      <x:c r="M101" s="23" t="str">
        <x:v>City research rank 6. Public phone: 980-224-0656. Public professional first name used on the official site.</x:v>
      </x:c>
    </x:row>
    <x:row r="102" ht="43.5" customHeight="1">
      <x:c r="A102" s="23" t="str">
        <x:v>Charlotte</x:v>
      </x:c>
      <x:c r="B102" s="23" t="n">
        <x:v>7</x:v>
      </x:c>
      <x:c r="C102" s="23" t="str">
        <x:v>Letasha</x:v>
      </x:c>
      <x:c r="D102" s="23" t="str">
        <x:v>BluSkyy Entertainment</x:v>
      </x:c>
      <x:c r="E102" s="23" t="str">
        <x:v>bluskyyent@gmail.com</x:v>
      </x:c>
      <x:c r="F102" s="25" t="str"/>
      <x:c r="G102" s="25" t="str"/>
      <x:c r="H102" s="23" t="str">
        <x:v>Email</x:v>
      </x:c>
      <x:c r="I102" s="23" t="str">
        <x:v>Current 2026 Charlotte instructor and entertainer with weekly programming and direct booking contacts.</x:v>
      </x:c>
      <x:c r="J102" s="25" t="str">
        <x:v>https://www.eventbrite.com/e/2026-tuesday-line-dance-class-wletasha-tickets-1979776651258</x:v>
      </x:c>
      <x:c r="K102" s="23" t="str">
        <x:v>Verified official site</x:v>
      </x:c>
      <x:c r="L102" s="24" t="n">
        <x:v>46239.666666666664</x:v>
      </x:c>
      <x:c r="M102" s="23" t="str">
        <x:v>City research rank 7. Public phone: 980-202-2264. Public professional first name used on current listings.</x:v>
      </x:c>
    </x:row>
    <x:row r="103" ht="43.5" customHeight="1">
      <x:c r="A103" s="23" t="str">
        <x:v>Charlotte</x:v>
      </x:c>
      <x:c r="B103" s="23" t="n">
        <x:v>8</x:v>
      </x:c>
      <x:c r="C103" s="23" t="str">
        <x:v>Kat Scott</x:v>
      </x:c>
      <x:c r="D103" s="23" t="str">
        <x:v>The Lynn's Dance Club</x:v>
      </x:c>
      <x:c r="E103" s="23" t="str">
        <x:v>thelynnsdanceclub@gmail.com</x:v>
      </x:c>
      <x:c r="F103" s="25" t="str"/>
      <x:c r="G103" s="25" t="str"/>
      <x:c r="H103" s="23" t="str">
        <x:v>Email</x:v>
      </x:c>
      <x:c r="I103" s="23" t="str">
        <x:v>Current Charlotte instructor with recurring public classes through an established local club.</x:v>
      </x:c>
      <x:c r="J103" s="25" t="str">
        <x:v>https://www.thelynnsdanceclub.com/</x:v>
      </x:c>
      <x:c r="K103" s="23" t="str">
        <x:v>Verified official site</x:v>
      </x:c>
      <x:c r="L103" s="24" t="n">
        <x:v>46239.666666666664</x:v>
      </x:c>
      <x:c r="M103" s="23" t="str">
        <x:v>City research rank 8.</x:v>
      </x:c>
    </x:row>
    <x:row r="104" ht="43.5" customHeight="1">
      <x:c r="A104" s="23" t="str">
        <x:v>Charlotte</x:v>
      </x:c>
      <x:c r="B104" s="23" t="n">
        <x:v>9</x:v>
      </x:c>
      <x:c r="C104" s="23" t="str">
        <x:v>Demond Carter</x:v>
      </x:c>
      <x:c r="D104" s="23" t="str">
        <x:v>Purple Charlotte Steppers Club</x:v>
      </x:c>
      <x:c r="E104" s="23" t="str">
        <x:v>purplecharlotteinfo@gmail.com</x:v>
      </x:c>
      <x:c r="F104" s="25" t="str">
        <x:v>https://www.instagram.com/purplecharlottesteppersclub/</x:v>
      </x:c>
      <x:c r="G104" s="25" t="str"/>
      <x:c r="H104" s="23" t="str">
        <x:v>Email</x:v>
      </x:c>
      <x:c r="I104" s="23" t="str">
        <x:v>Founder of a Charlotte dance organization operating since 2004 and reporting service to more than 12,000 people.</x:v>
      </x:c>
      <x:c r="J104" s="25" t="str">
        <x:v>https://www.purplecharlotte.com/</x:v>
      </x:c>
      <x:c r="K104" s="23" t="str">
        <x:v>Verified official site</x:v>
      </x:c>
      <x:c r="L104" s="24" t="n">
        <x:v>46239.666666666664</x:v>
      </x:c>
      <x:c r="M104" s="23" t="str">
        <x:v>City research rank 9.</x:v>
      </x:c>
    </x:row>
    <x:row r="105" ht="43.5" customHeight="1">
      <x:c r="A105" s="23" t="str">
        <x:v>Charlotte</x:v>
      </x:c>
      <x:c r="B105" s="23" t="n">
        <x:v>10</x:v>
      </x:c>
      <x:c r="C105" s="23" t="str">
        <x:v>Courtney Jant</x:v>
      </x:c>
      <x:c r="D105" s="23" t="str">
        <x:v>Dancing On The Go NC</x:v>
      </x:c>
      <x:c r="E105" s="23" t="str">
        <x:v>dancingonthegonc@gmail.com</x:v>
      </x:c>
      <x:c r="F105" s="25" t="str"/>
      <x:c r="G105" s="25" t="str"/>
      <x:c r="H105" s="23" t="str">
        <x:v>Email</x:v>
      </x:c>
      <x:c r="I105" s="23" t="str">
        <x:v>Charlotte-area instructor and choreographer leading a public Meetup community of more than 1,000 members.</x:v>
      </x:c>
      <x:c r="J105" s="25" t="str">
        <x:v>https://www.meetup.com/dancing-on-the-go/</x:v>
      </x:c>
      <x:c r="K105" s="23" t="str">
        <x:v>Verified official site</x:v>
      </x:c>
      <x:c r="L105" s="24" t="n">
        <x:v>46239.666666666664</x:v>
      </x:c>
      <x:c r="M105" s="23" t="str">
        <x:v>City research rank 10. Public phone: 980-785-3646.</x:v>
      </x:c>
    </x:row>
    <x:row r="106" ht="43.5" customHeight="1">
      <x:c r="A106" s="23" t="str">
        <x:v>Las Vegas</x:v>
      </x:c>
      <x:c r="B106" s="23" t="n">
        <x:v>1</x:v>
      </x:c>
      <x:c r="C106" s="23" t="str">
        <x:v>Amanda Bower</x:v>
      </x:c>
      <x:c r="D106" s="23" t="str">
        <x:v>Stoney's Rockin' Country</x:v>
      </x:c>
      <x:c r="E106" s="23" t="str">
        <x:v>info@stoneys.com</x:v>
      </x:c>
      <x:c r="F106" s="25" t="str">
        <x:v>https://www.instagram.com/stoneysrockincountry/</x:v>
      </x:c>
      <x:c r="G106" s="25" t="str"/>
      <x:c r="H106" s="23" t="str">
        <x:v>Email</x:v>
      </x:c>
      <x:c r="I106" s="23" t="str">
        <x:v>Current named lesson leader at one of Las Vegas's most visible country venues.</x:v>
      </x:c>
      <x:c r="J106" s="25" t="str">
        <x:v>https://stoneysrockincountry.com/dance-lessons/</x:v>
      </x:c>
      <x:c r="K106" s="23" t="str">
        <x:v>Venue or event route</x:v>
      </x:c>
      <x:c r="L106" s="24" t="n">
        <x:v>46239.666666666664</x:v>
      </x:c>
      <x:c r="M106" s="23" t="str">
        <x:v>City research rank 1.</x:v>
      </x:c>
    </x:row>
    <x:row r="107" ht="43.5" customHeight="1">
      <x:c r="A107" s="23" t="str">
        <x:v>Las Vegas</x:v>
      </x:c>
      <x:c r="B107" s="23" t="n">
        <x:v>2</x:v>
      </x:c>
      <x:c r="C107" s="23" t="str">
        <x:v>Brad Austin</x:v>
      </x:c>
      <x:c r="D107" s="23" t="str">
        <x:v>Country Crossroads Dance</x:v>
      </x:c>
      <x:c r="E107" s="23" t="str">
        <x:v>info@countrycrossroads.dance</x:v>
      </x:c>
      <x:c r="F107" s="25" t="str">
        <x:v>https://www.instagram.com/vegas_dancer_brad/</x:v>
      </x:c>
      <x:c r="G107" s="25" t="str"/>
      <x:c r="H107" s="23" t="str">
        <x:v>Email</x:v>
      </x:c>
      <x:c r="I107" s="23" t="str">
        <x:v>Owner and lead instructor of a current Las Vegas country dance business.</x:v>
      </x:c>
      <x:c r="J107" s="25" t="str">
        <x:v>https://www.countrycrossroads.dance/about</x:v>
      </x:c>
      <x:c r="K107" s="23" t="str">
        <x:v>Verified official site</x:v>
      </x:c>
      <x:c r="L107" s="24" t="n">
        <x:v>46239.666666666664</x:v>
      </x:c>
      <x:c r="M107" s="23" t="str">
        <x:v>City research rank 2.</x:v>
      </x:c>
    </x:row>
    <x:row r="108" ht="43.5" customHeight="1">
      <x:c r="A108" s="23" t="str">
        <x:v>Las Vegas</x:v>
      </x:c>
      <x:c r="B108" s="23" t="n">
        <x:v>3</x:v>
      </x:c>
      <x:c r="C108" s="23" t="str">
        <x:v>Spirit Imbrogno</x:v>
      </x:c>
      <x:c r="D108" s="23" t="str">
        <x:v>Country Crossroads Dance</x:v>
      </x:c>
      <x:c r="E108" s="23" t="str">
        <x:v>info@countrycrossroads.dance</x:v>
      </x:c>
      <x:c r="F108" s="25" t="str">
        <x:v>https://www.instagram.com/spiritimj/</x:v>
      </x:c>
      <x:c r="G108" s="25" t="str"/>
      <x:c r="H108" s="23" t="str">
        <x:v>Email</x:v>
      </x:c>
      <x:c r="I108" s="23" t="str">
        <x:v>Current instructor at a dedicated Las Vegas country dance business with public social presence.</x:v>
      </x:c>
      <x:c r="J108" s="25" t="str">
        <x:v>https://www.countrycrossroads.dance/about</x:v>
      </x:c>
      <x:c r="K108" s="23" t="str">
        <x:v>Verified official site</x:v>
      </x:c>
      <x:c r="L108" s="24" t="n">
        <x:v>46239.666666666664</x:v>
      </x:c>
      <x:c r="M108" s="23" t="str">
        <x:v>City research rank 3.</x:v>
      </x:c>
    </x:row>
    <x:row r="109" ht="43.5" customHeight="1">
      <x:c r="A109" s="23" t="str">
        <x:v>Las Vegas</x:v>
      </x:c>
      <x:c r="B109" s="23" t="n">
        <x:v>4</x:v>
      </x:c>
      <x:c r="C109" s="23" t="str">
        <x:v>Jackie Miranda</x:v>
      </x:c>
      <x:c r="D109" s="23" t="str">
        <x:v>Vegas Dance Explosion</x:v>
      </x:c>
      <x:c r="E109" s="23" t="str">
        <x:v>contact@vegasdanceexplosion.com</x:v>
      </x:c>
      <x:c r="F109" s="25" t="str"/>
      <x:c r="G109" s="25" t="str"/>
      <x:c r="H109" s="23" t="str">
        <x:v>Email</x:v>
      </x:c>
      <x:c r="I109" s="23" t="str">
        <x:v>Co-producer and instructor at one of the best-known Las Vegas line dance conventions, active in 2026.</x:v>
      </x:c>
      <x:c r="J109" s="25" t="str">
        <x:v>https://www.vegasdanceexplosion.com/</x:v>
      </x:c>
      <x:c r="K109" s="23" t="str">
        <x:v>Verified official site</x:v>
      </x:c>
      <x:c r="L109" s="24" t="n">
        <x:v>46239.666666666664</x:v>
      </x:c>
      <x:c r="M109" s="23" t="str">
        <x:v>City research rank 4.</x:v>
      </x:c>
    </x:row>
    <x:row r="110" ht="43.5" customHeight="1">
      <x:c r="A110" s="23" t="str">
        <x:v>Las Vegas</x:v>
      </x:c>
      <x:c r="B110" s="23" t="n">
        <x:v>5</x:v>
      </x:c>
      <x:c r="C110" s="23" t="str">
        <x:v>Doug Miranda</x:v>
      </x:c>
      <x:c r="D110" s="23" t="str">
        <x:v>Vegas Dance Explosion</x:v>
      </x:c>
      <x:c r="E110" s="23" t="str">
        <x:v>contact@vegasdanceexplosion.com</x:v>
      </x:c>
      <x:c r="F110" s="25" t="str"/>
      <x:c r="G110" s="25" t="str"/>
      <x:c r="H110" s="23" t="str">
        <x:v>Email</x:v>
      </x:c>
      <x:c r="I110" s="23" t="str">
        <x:v>Co-producer and instructor at one of the best-known Las Vegas line dance conventions, active in 2026.</x:v>
      </x:c>
      <x:c r="J110" s="25" t="str">
        <x:v>https://www.vegasdanceexplosion.com/</x:v>
      </x:c>
      <x:c r="K110" s="23" t="str">
        <x:v>Verified official site</x:v>
      </x:c>
      <x:c r="L110" s="24" t="n">
        <x:v>46239.666666666664</x:v>
      </x:c>
      <x:c r="M110" s="23" t="str">
        <x:v>City research rank 5.</x:v>
      </x:c>
    </x:row>
    <x:row r="111" ht="43.5" customHeight="1">
      <x:c r="A111" s="23" t="str">
        <x:v>Las Vegas</x:v>
      </x:c>
      <x:c r="B111" s="23" t="n">
        <x:v>6</x:v>
      </x:c>
      <x:c r="C111" s="23" t="str">
        <x:v>Z!nG David</x:v>
      </x:c>
      <x:c r="D111" s="23" t="str">
        <x:v>Z!nG David MC</x:v>
      </x:c>
      <x:c r="E111" s="23" t="str"/>
      <x:c r="F111" s="25" t="str"/>
      <x:c r="G111" s="25" t="str"/>
      <x:c r="H111" s="23" t="str">
        <x:v>Booking platform</x:v>
      </x:c>
      <x:c r="I111" s="23" t="str">
        <x:v>Las Vegas-based event professional publicly offering line dance instruction through a booking marketplace.</x:v>
      </x:c>
      <x:c r="J111" s="25" t="str">
        <x:v>https://www.gigsalad.com/zing_las_vegas</x:v>
      </x:c>
      <x:c r="K111" s="23" t="str">
        <x:v>Booking platform</x:v>
      </x:c>
      <x:c r="L111" s="24" t="n">
        <x:v>46239.666666666664</x:v>
      </x:c>
      <x:c r="M111" s="23" t="str">
        <x:v>City research rank 6.</x:v>
      </x:c>
    </x:row>
    <x:row r="112" ht="43.5" customHeight="1">
      <x:c r="A112" s="23" t="str">
        <x:v>Las Vegas</x:v>
      </x:c>
      <x:c r="B112" s="23" t="n">
        <x:v>7</x:v>
      </x:c>
      <x:c r="C112" s="23" t="str">
        <x:v>Lynn St Pierre</x:v>
      </x:c>
      <x:c r="D112" s="23" t="str">
        <x:v>Boulder City Parks and Recreation</x:v>
      </x:c>
      <x:c r="E112" s="23" t="str"/>
      <x:c r="F112" s="25" t="str"/>
      <x:c r="G112" s="25" t="str"/>
      <x:c r="H112" s="23" t="str">
        <x:v>Venue referral</x:v>
      </x:c>
      <x:c r="I112" s="23" t="str">
        <x:v>Las Vegas metro instructor who has taught hundreds of students over more than 13 years and is listed for current 2026 classes.</x:v>
      </x:c>
      <x:c r="J112" s="25" t="str">
        <x:v>https://bcrec.recdesk.com/Community/Program/Detail?programId=4774</x:v>
      </x:c>
      <x:c r="K112" s="23" t="str">
        <x:v>Venue or event route</x:v>
      </x:c>
      <x:c r="L112" s="24" t="n">
        <x:v>46239.666666666664</x:v>
      </x:c>
      <x:c r="M112" s="23" t="str">
        <x:v>City research rank 7. Parks and Recreation phone: 702-293-9256.</x:v>
      </x:c>
    </x:row>
    <x:row r="113" ht="43.5" customHeight="1">
      <x:c r="A113" s="23" t="str">
        <x:v>Las Vegas</x:v>
      </x:c>
      <x:c r="B113" s="23" t="n">
        <x:v>8</x:v>
      </x:c>
      <x:c r="C113" s="23" t="str">
        <x:v>Karmen Gipson</x:v>
      </x:c>
      <x:c r="D113" s="23" t="str">
        <x:v>SkyView YMCA North Las Vegas</x:v>
      </x:c>
      <x:c r="E113" s="23" t="str"/>
      <x:c r="F113" s="25" t="str"/>
      <x:c r="G113" s="25" t="str"/>
      <x:c r="H113" s="23" t="str">
        <x:v>Venue referral</x:v>
      </x:c>
      <x:c r="I113" s="23" t="str">
        <x:v>Named instructor for current 2026 North Las Vegas public line dance sessions.</x:v>
      </x:c>
      <x:c r="J113" s="25" t="str">
        <x:v>https://www.cityofnorthlasvegas.com/home/showdocument?id=10046&amp;t=638827328653382026</x:v>
      </x:c>
      <x:c r="K113" s="23" t="str">
        <x:v>Venue or event route</x:v>
      </x:c>
      <x:c r="L113" s="24" t="n">
        <x:v>46239.666666666664</x:v>
      </x:c>
      <x:c r="M113" s="23" t="str">
        <x:v>City research rank 8.</x:v>
      </x:c>
    </x:row>
    <x:row r="114" ht="43.5" customHeight="1">
      <x:c r="A114" s="23" t="str">
        <x:v>Las Vegas</x:v>
      </x:c>
      <x:c r="B114" s="23" t="n">
        <x:v>9</x:v>
      </x:c>
      <x:c r="C114" s="23" t="str">
        <x:v>Samantha</x:v>
      </x:c>
      <x:c r="D114" s="23" t="str">
        <x:v>Viva Tequila Las Vegas</x:v>
      </x:c>
      <x:c r="E114" s="23" t="str"/>
      <x:c r="F114" s="25" t="str"/>
      <x:c r="G114" s="25" t="str"/>
      <x:c r="H114" s="23" t="str">
        <x:v>Venue referral</x:v>
      </x:c>
      <x:c r="I114" s="23" t="str">
        <x:v>Named instructor on current Las Vegas nightlife line dance programming.</x:v>
      </x:c>
      <x:c r="J114" s="25" t="str">
        <x:v>https://vivatequilavegas.com/events/IPBtsA8r7fXR</x:v>
      </x:c>
      <x:c r="K114" s="23" t="str">
        <x:v>Venue or event route</x:v>
      </x:c>
      <x:c r="L114" s="24" t="n">
        <x:v>46239.666666666664</x:v>
      </x:c>
      <x:c r="M114" s="23" t="str">
        <x:v>City research rank 9. Public professional first name used by the venue.</x:v>
      </x:c>
    </x:row>
    <x:row r="115" ht="43.5" customHeight="1">
      <x:c r="A115" s="23" t="str">
        <x:v>Las Vegas</x:v>
      </x:c>
      <x:c r="B115" s="23" t="n">
        <x:v>10</x:v>
      </x:c>
      <x:c r="C115" s="23" t="str">
        <x:v>Philip Victoro (Boot Scootin' Philip)</x:v>
      </x:c>
      <x:c r="D115" s="23" t="str">
        <x:v>Boot Scootin' Line Dance</x:v>
      </x:c>
      <x:c r="E115" s="23" t="str"/>
      <x:c r="F115" s="25" t="str">
        <x:v>https://www.instagram.com/_bootscootin/</x:v>
      </x:c>
      <x:c r="G115" s="25" t="str">
        <x:v>https://www.tiktok.com/@bootscootindance</x:v>
      </x:c>
      <x:c r="H115" s="23" t="str">
        <x:v>Instagram</x:v>
      </x:c>
      <x:c r="I115" s="23" t="str">
        <x:v>Major online instructor with repeated Las Vegas venue appearances and strong in-market audience recognition.</x:v>
      </x:c>
      <x:c r="J115" s="25" t="str">
        <x:v>https://stoneysnorthforty.com/calendar/boot-scootin-philip-night-one/</x:v>
      </x:c>
      <x:c r="K115" s="23" t="str">
        <x:v>Verified public social</x:v>
      </x:c>
      <x:c r="L115" s="24" t="n">
        <x:v>46239.666666666664</x:v>
      </x:c>
      <x:c r="M115" s="23" t="str">
        <x:v>City research rank 10. Visiting instructor with documented Las Vegas appearances, not confirmed as a local resident.</x:v>
      </x:c>
    </x:row>
  </x:sheetData>
  <x:mergeCells>
    <x:mergeCell ref="A1:M1"/>
    <x:mergeCell ref="A2:M2"/>
    <x:mergeCell ref="A3:M3"/>
  </x:mergeCells>
  <x:conditionalFormatting sqref="B6:B115">
    <x:cfRule type="cellIs" dxfId="0" priority="1" operator="lessThanOr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b7460d8f5a40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21.110000610351562" hidden="0" customWidth="1"/>
    <x:col min="3" max="3" width="16.670000076293945" hidden="0" customWidth="1"/>
    <x:col min="4" max="4" width="12.220000267028809" hidden="0" customWidth="1"/>
    <x:col min="5" max="5" width="13.890000343322754" hidden="0" customWidth="1"/>
    <x:col min="6" max="6" width="15" hidden="0" customWidth="1"/>
    <x:col min="7" max="7" width="9.779999732971191" hidden="0" customWidth="1"/>
    <x:col min="8" max="8" width="9.779999732971191" hidden="0" customWidth="1"/>
    <x:col min="9" max="9" width="10.5600004196167" hidden="0" customWidth="1"/>
    <x:col min="10" max="10" width="8" hidden="0" customWidth="1"/>
    <x:col min="11" max="11" width="8" hidden="0" customWidth="1"/>
    <x:col min="12" max="12" width="9.779999732971191" hidden="0" customWidth="1"/>
    <x:col min="13" max="13" width="22.780000686645508" hidden="0" customWidth="1"/>
    <x:col min="14" max="14" width="8.670000076293945" hidden="0" customWidth="1"/>
    <x:col min="15" max="15" width="10.5600004196167" hidden="0" customWidth="1"/>
    <x:col min="16" max="16" width="10.220000267028809" hidden="0" customWidth="1"/>
    <x:col min="17" max="17" width="11.670000076293945" hidden="0" customWidth="1"/>
    <x:col min="18" max="18" width="10.5600004196167" hidden="0" customWidth="1"/>
    <x:col min="19" max="19" width="12.220000267028809" hidden="0" customWidth="1"/>
    <x:col min="20" max="20" width="22.780000686645508" hidden="0" customWidth="1"/>
    <x:col min="21" max="21" width="12.220000267028809" hidden="0" customWidth="1"/>
    <x:col min="22" max="22" width="11.670000076293945" hidden="0" customWidth="1"/>
    <x:col min="23" max="23" width="24.440000534057617" hidden="0" customWidth="1"/>
  </x:cols>
  <x:sheetData>
    <x:row r="1" ht="30" customHeight="1">
      <x:c r="A1" s="4" t="str">
        <x:v>Content and Instructor Signup Tracker</x:v>
      </x:c>
      <x:c r="B1" s="4" t="str">
        <x:v>Content and Instructor Signup Tracker</x:v>
      </x:c>
      <x:c r="C1" s="4" t="str">
        <x:v>Content and Instructor Signup Tracker</x:v>
      </x:c>
      <x:c r="D1" s="4" t="str">
        <x:v>Content and Instructor Signup Tracker</x:v>
      </x:c>
      <x:c r="E1" s="4" t="str">
        <x:v>Content and Instructor Signup Tracker</x:v>
      </x:c>
      <x:c r="F1" s="4" t="str">
        <x:v>Content and Instructor Signup Tracker</x:v>
      </x:c>
      <x:c r="G1" s="4" t="str">
        <x:v>Content and Instructor Signup Tracker</x:v>
      </x:c>
      <x:c r="H1" s="4" t="str">
        <x:v>Content and Instructor Signup Tracker</x:v>
      </x:c>
      <x:c r="I1" s="4" t="str">
        <x:v>Content and Instructor Signup Tracker</x:v>
      </x:c>
      <x:c r="J1" s="4" t="str">
        <x:v>Content and Instructor Signup Tracker</x:v>
      </x:c>
      <x:c r="K1" s="4" t="str">
        <x:v>Content and Instructor Signup Tracker</x:v>
      </x:c>
      <x:c r="L1" s="4" t="str">
        <x:v>Content and Instructor Signup Tracker</x:v>
      </x:c>
      <x:c r="M1" s="4" t="str">
        <x:v>Content and Instructor Signup Tracker</x:v>
      </x:c>
      <x:c r="N1" s="4" t="str">
        <x:v>Content and Instructor Signup Tracker</x:v>
      </x:c>
      <x:c r="O1" s="4" t="str">
        <x:v>Content and Instructor Signup Tracker</x:v>
      </x:c>
      <x:c r="P1" s="4" t="str">
        <x:v>Content and Instructor Signup Tracker</x:v>
      </x:c>
      <x:c r="Q1" s="4" t="str">
        <x:v>Content and Instructor Signup Tracker</x:v>
      </x:c>
      <x:c r="R1" s="4" t="str">
        <x:v>Content and Instructor Signup Tracker</x:v>
      </x:c>
      <x:c r="S1" s="4" t="str">
        <x:v>Content and Instructor Signup Tracker</x:v>
      </x:c>
      <x:c r="T1" s="4" t="str">
        <x:v>Content and Instructor Signup Tracker</x:v>
      </x:c>
      <x:c r="U1" s="4" t="str">
        <x:v>Content and Instructor Signup Tracker</x:v>
      </x:c>
      <x:c r="V1" s="4" t="str">
        <x:v>Content and Instructor Signup Tracker</x:v>
      </x:c>
      <x:c r="W1" s="4" t="str">
        <x:v>Content and Instructor Signup Tracker</x:v>
      </x:c>
    </x:row>
    <x:row r="2" ht="22.5" customHeight="1">
      <x:c r="A2" s="8" t="str">
        <x:v>Use this sheet after a prospect engages. Permission, asset delivery, posting, signup, profile review, and membership are intentionally separate so nothing is assumed.</x:v>
      </x:c>
      <x:c r="B2" s="8" t="str">
        <x:v>Use this sheet after a prospect engages. Permission, asset delivery, posting, signup, profile review, and membership are intentionally separate so nothing is assumed.</x:v>
      </x:c>
      <x:c r="C2" s="8" t="str">
        <x:v>Use this sheet after a prospect engages. Permission, asset delivery, posting, signup, profile review, and membership are intentionally separate so nothing is assumed.</x:v>
      </x:c>
      <x:c r="D2" s="8" t="str">
        <x:v>Use this sheet after a prospect engages. Permission, asset delivery, posting, signup, profile review, and membership are intentionally separate so nothing is assumed.</x:v>
      </x:c>
      <x:c r="E2" s="8" t="str">
        <x:v>Use this sheet after a prospect engages. Permission, asset delivery, posting, signup, profile review, and membership are intentionally separate so nothing is assumed.</x:v>
      </x:c>
      <x:c r="F2" s="8" t="str">
        <x:v>Use this sheet after a prospect engages. Permission, asset delivery, posting, signup, profile review, and membership are intentionally separate so nothing is assumed.</x:v>
      </x:c>
      <x:c r="G2" s="8" t="str">
        <x:v>Use this sheet after a prospect engages. Permission, asset delivery, posting, signup, profile review, and membership are intentionally separate so nothing is assumed.</x:v>
      </x:c>
      <x:c r="H2" s="8" t="str">
        <x:v>Use this sheet after a prospect engages. Permission, asset delivery, posting, signup, profile review, and membership are intentionally separate so nothing is assumed.</x:v>
      </x:c>
      <x:c r="I2" s="8" t="str">
        <x:v>Use this sheet after a prospect engages. Permission, asset delivery, posting, signup, profile review, and membership are intentionally separate so nothing is assumed.</x:v>
      </x:c>
      <x:c r="J2" s="8" t="str">
        <x:v>Use this sheet after a prospect engages. Permission, asset delivery, posting, signup, profile review, and membership are intentionally separate so nothing is assumed.</x:v>
      </x:c>
      <x:c r="K2" s="8" t="str">
        <x:v>Use this sheet after a prospect engages. Permission, asset delivery, posting, signup, profile review, and membership are intentionally separate so nothing is assumed.</x:v>
      </x:c>
      <x:c r="L2" s="8" t="str">
        <x:v>Use this sheet after a prospect engages. Permission, asset delivery, posting, signup, profile review, and membership are intentionally separate so nothing is assumed.</x:v>
      </x:c>
      <x:c r="M2" s="8" t="str">
        <x:v>Use this sheet after a prospect engages. Permission, asset delivery, posting, signup, profile review, and membership are intentionally separate so nothing is assumed.</x:v>
      </x:c>
      <x:c r="N2" s="8" t="str">
        <x:v>Use this sheet after a prospect engages. Permission, asset delivery, posting, signup, profile review, and membership are intentionally separate so nothing is assumed.</x:v>
      </x:c>
      <x:c r="O2" s="8" t="str">
        <x:v>Use this sheet after a prospect engages. Permission, asset delivery, posting, signup, profile review, and membership are intentionally separate so nothing is assumed.</x:v>
      </x:c>
      <x:c r="P2" s="8" t="str">
        <x:v>Use this sheet after a prospect engages. Permission, asset delivery, posting, signup, profile review, and membership are intentionally separate so nothing is assumed.</x:v>
      </x:c>
      <x:c r="Q2" s="8" t="str">
        <x:v>Use this sheet after a prospect engages. Permission, asset delivery, posting, signup, profile review, and membership are intentionally separate so nothing is assumed.</x:v>
      </x:c>
      <x:c r="R2" s="8" t="str">
        <x:v>Use this sheet after a prospect engages. Permission, asset delivery, posting, signup, profile review, and membership are intentionally separate so nothing is assumed.</x:v>
      </x:c>
      <x:c r="S2" s="8" t="str">
        <x:v>Use this sheet after a prospect engages. Permission, asset delivery, posting, signup, profile review, and membership are intentionally separate so nothing is assumed.</x:v>
      </x:c>
      <x:c r="T2" s="8" t="str">
        <x:v>Use this sheet after a prospect engages. Permission, asset delivery, posting, signup, profile review, and membership are intentionally separate so nothing is assumed.</x:v>
      </x:c>
      <x:c r="U2" s="8" t="str">
        <x:v>Use this sheet after a prospect engages. Permission, asset delivery, posting, signup, profile review, and membership are intentionally separate so nothing is assumed.</x:v>
      </x:c>
      <x:c r="V2" s="8" t="str">
        <x:v>Use this sheet after a prospect engages. Permission, asset delivery, posting, signup, profile review, and membership are intentionally separate so nothing is assumed.</x:v>
      </x:c>
      <x:c r="W2" s="8" t="str">
        <x:v>Use this sheet after a prospect engages. Permission, asset delivery, posting, signup, profile review, and membership are intentionally separate so nothing is assumed.</x:v>
      </x:c>
    </x:row>
    <x:row r="3" ht="22.5" customHeight="1">
      <x:c r="A3" s="29" t="str">
        <x:v>A yes to a conversation is not content permission. A content post is not a completed signup. Record each milestone only after it happens.</x:v>
      </x:c>
      <x:c r="B3" s="29" t="str">
        <x:v>A yes to a conversation is not content permission. A content post is not a completed signup. Record each milestone only after it happens.</x:v>
      </x:c>
      <x:c r="C3" s="29" t="str">
        <x:v>A yes to a conversation is not content permission. A content post is not a completed signup. Record each milestone only after it happens.</x:v>
      </x:c>
      <x:c r="D3" s="29" t="str">
        <x:v>A yes to a conversation is not content permission. A content post is not a completed signup. Record each milestone only after it happens.</x:v>
      </x:c>
      <x:c r="E3" s="29" t="str">
        <x:v>A yes to a conversation is not content permission. A content post is not a completed signup. Record each milestone only after it happens.</x:v>
      </x:c>
      <x:c r="F3" s="29" t="str">
        <x:v>A yes to a conversation is not content permission. A content post is not a completed signup. Record each milestone only after it happens.</x:v>
      </x:c>
      <x:c r="G3" s="29" t="str">
        <x:v>A yes to a conversation is not content permission. A content post is not a completed signup. Record each milestone only after it happens.</x:v>
      </x:c>
      <x:c r="H3" s="29" t="str">
        <x:v>A yes to a conversation is not content permission. A content post is not a completed signup. Record each milestone only after it happens.</x:v>
      </x:c>
      <x:c r="I3" s="29" t="str">
        <x:v>A yes to a conversation is not content permission. A content post is not a completed signup. Record each milestone only after it happens.</x:v>
      </x:c>
      <x:c r="J3" s="29" t="str">
        <x:v>A yes to a conversation is not content permission. A content post is not a completed signup. Record each milestone only after it happens.</x:v>
      </x:c>
      <x:c r="K3" s="29" t="str">
        <x:v>A yes to a conversation is not content permission. A content post is not a completed signup. Record each milestone only after it happens.</x:v>
      </x:c>
      <x:c r="L3" s="29" t="str">
        <x:v>A yes to a conversation is not content permission. A content post is not a completed signup. Record each milestone only after it happens.</x:v>
      </x:c>
      <x:c r="M3" s="29" t="str">
        <x:v>A yes to a conversation is not content permission. A content post is not a completed signup. Record each milestone only after it happens.</x:v>
      </x:c>
      <x:c r="N3" s="29" t="str">
        <x:v>A yes to a conversation is not content permission. A content post is not a completed signup. Record each milestone only after it happens.</x:v>
      </x:c>
      <x:c r="O3" s="29" t="str">
        <x:v>A yes to a conversation is not content permission. A content post is not a completed signup. Record each milestone only after it happens.</x:v>
      </x:c>
      <x:c r="P3" s="29" t="str">
        <x:v>A yes to a conversation is not content permission. A content post is not a completed signup. Record each milestone only after it happens.</x:v>
      </x:c>
      <x:c r="Q3" s="29" t="str">
        <x:v>A yes to a conversation is not content permission. A content post is not a completed signup. Record each milestone only after it happens.</x:v>
      </x:c>
      <x:c r="R3" s="29" t="str">
        <x:v>A yes to a conversation is not content permission. A content post is not a completed signup. Record each milestone only after it happens.</x:v>
      </x:c>
      <x:c r="S3" s="29" t="str">
        <x:v>A yes to a conversation is not content permission. A content post is not a completed signup. Record each milestone only after it happens.</x:v>
      </x:c>
      <x:c r="T3" s="29" t="str">
        <x:v>A yes to a conversation is not content permission. A content post is not a completed signup. Record each milestone only after it happens.</x:v>
      </x:c>
      <x:c r="U3" s="29" t="str">
        <x:v>A yes to a conversation is not content permission. A content post is not a completed signup. Record each milestone only after it happens.</x:v>
      </x:c>
      <x:c r="V3" s="29" t="str">
        <x:v>A yes to a conversation is not content permission. A content post is not a completed signup. Record each milestone only after it happens.</x:v>
      </x:c>
      <x:c r="W3" s="29" t="str">
        <x:v>A yes to a conversation is not content permission. A content post is not a completed signup. Record each milestone only after it happens.</x:v>
      </x:c>
    </x:row>
    <x:row r="5" ht="25.5" customHeight="1">
      <x:c r="A5" s="18" t="str">
        <x:v>Prospect ID</x:v>
      </x:c>
      <x:c r="B5" s="18" t="str">
        <x:v>Instructor / Business</x:v>
      </x:c>
      <x:c r="C5" s="18" t="str">
        <x:v>Region</x:v>
      </x:c>
      <x:c r="D5" s="18" t="str">
        <x:v>Participation decision</x:v>
      </x:c>
      <x:c r="E5" s="18" t="str">
        <x:v>Content permission</x:v>
      </x:c>
      <x:c r="F5" s="18" t="str">
        <x:v>Content format</x:v>
      </x:c>
      <x:c r="G5" s="18" t="str">
        <x:v>Brief sent date</x:v>
      </x:c>
      <x:c r="H5" s="18" t="str">
        <x:v>Due date</x:v>
      </x:c>
      <x:c r="I5" s="18" t="str">
        <x:v>Asset received</x:v>
      </x:c>
      <x:c r="J5" s="18" t="str">
        <x:v>Approved</x:v>
      </x:c>
      <x:c r="K5" s="18" t="str">
        <x:v>Posted</x:v>
      </x:c>
      <x:c r="L5" s="18" t="str">
        <x:v>Post date</x:v>
      </x:c>
      <x:c r="M5" s="18" t="str">
        <x:v>Post URL</x:v>
      </x:c>
      <x:c r="N5" s="18" t="str">
        <x:v>Tagged HLD</x:v>
      </x:c>
      <x:c r="O5" s="18" t="str">
        <x:v>Signup link sent</x:v>
      </x:c>
      <x:c r="P5" s="18" t="str">
        <x:v>Signup started</x:v>
      </x:c>
      <x:c r="Q5" s="18" t="str">
        <x:v>Signup completed</x:v>
      </x:c>
      <x:c r="R5" s="18" t="str">
        <x:v>Profile submitted</x:v>
      </x:c>
      <x:c r="S5" s="18" t="str">
        <x:v>Profile status</x:v>
      </x:c>
      <x:c r="T5" s="18" t="str">
        <x:v>Public profile URL</x:v>
      </x:c>
      <x:c r="U5" s="18" t="str">
        <x:v>Membership status</x:v>
      </x:c>
      <x:c r="V5" s="18" t="str">
        <x:v>Overall status</x:v>
      </x:c>
      <x:c r="W5" s="18" t="str">
        <x:v>Follow-up notes</x:v>
      </x:c>
    </x:row>
    <x:row r="6" ht="33" customHeight="1">
      <x:c r="A6" s="23" t="str">
        <x:v>NAS-01</x:v>
      </x:c>
      <x:c r="B6" s="23" t="str">
        <x:v>Urban Cowboy Line Dancing</x:v>
      </x:c>
      <x:c r="C6" s="23" t="str">
        <x:v>Nashville</x:v>
      </x:c>
      <x:c r="D6" s="23" t="str">
        <x:v>Unknown</x:v>
      </x:c>
      <x:c r="E6" s="23" t="str">
        <x:v>Not discussed</x:v>
      </x:c>
      <x:c r="F6" s="23" t="str">
        <x:v>Not selected</x:v>
      </x:c>
      <x:c r="G6" s="24"/>
      <x:c r="H6" s="24"/>
      <x:c r="I6" s="23" t="str">
        <x:v>No</x:v>
      </x:c>
      <x:c r="J6" s="23" t="str">
        <x:v>No</x:v>
      </x:c>
      <x:c r="K6" s="23" t="str">
        <x:v>No</x:v>
      </x:c>
      <x:c r="L6" s="24"/>
      <x:c r="M6" s="25" t="str"/>
      <x:c r="N6" s="23" t="str">
        <x:v>No</x:v>
      </x:c>
      <x:c r="O6" s="24"/>
      <x:c r="P6" s="23" t="str">
        <x:v>No</x:v>
      </x:c>
      <x:c r="Q6" s="23" t="str">
        <x:v>No</x:v>
      </x:c>
      <x:c r="R6" s="23" t="str">
        <x:v>No</x:v>
      </x:c>
      <x:c r="S6" s="23" t="str">
        <x:v>Not started</x:v>
      </x:c>
      <x:c r="T6" s="25" t="str"/>
      <x:c r="U6" s="23" t="str">
        <x:v>Not started</x:v>
      </x:c>
      <x:c r="V6" s="23" t="str">
        <x:f>IF(S6="Published","Published",IF(Q6="Yes","Signed up",IF(K6="Yes","Content posted",IF(I6="Yes","Content received",IF(D6="Yes","Agreed",IF(D6="No","Declined","Not started"))))))</x:f>
        <x:v>Not started</x:v>
      </x:c>
      <x:c r="W6" s="23" t="str"/>
    </x:row>
    <x:row r="7" ht="33" customHeight="1">
      <x:c r="A7" s="23" t="str">
        <x:v>NAS-02</x:v>
      </x:c>
      <x:c r="B7" s="23" t="str">
        <x:v>Nashville Balance Line Dance Team</x:v>
      </x:c>
      <x:c r="C7" s="23" t="str">
        <x:v>Nashville</x:v>
      </x:c>
      <x:c r="D7" s="23" t="str">
        <x:v>Unknown</x:v>
      </x:c>
      <x:c r="E7" s="23" t="str">
        <x:v>Not discussed</x:v>
      </x:c>
      <x:c r="F7" s="23" t="str">
        <x:v>Not selected</x:v>
      </x:c>
      <x:c r="G7" s="24"/>
      <x:c r="H7" s="24"/>
      <x:c r="I7" s="23" t="str">
        <x:v>No</x:v>
      </x:c>
      <x:c r="J7" s="23" t="str">
        <x:v>No</x:v>
      </x:c>
      <x:c r="K7" s="23" t="str">
        <x:v>No</x:v>
      </x:c>
      <x:c r="L7" s="24"/>
      <x:c r="M7" s="25" t="str"/>
      <x:c r="N7" s="23" t="str">
        <x:v>No</x:v>
      </x:c>
      <x:c r="O7" s="24"/>
      <x:c r="P7" s="23" t="str">
        <x:v>No</x:v>
      </x:c>
      <x:c r="Q7" s="23" t="str">
        <x:v>No</x:v>
      </x:c>
      <x:c r="R7" s="23" t="str">
        <x:v>No</x:v>
      </x:c>
      <x:c r="S7" s="23" t="str">
        <x:v>Not started</x:v>
      </x:c>
      <x:c r="T7" s="25" t="str"/>
      <x:c r="U7" s="23" t="str">
        <x:v>Not started</x:v>
      </x:c>
      <x:c r="V7" s="23" t="str">
        <x:f>IF(S7="Published","Published",IF(Q7="Yes","Signed up",IF(K7="Yes","Content posted",IF(I7="Yes","Content received",IF(D7="Yes","Agreed",IF(D7="No","Declined","Not started"))))))</x:f>
        <x:v>Not started</x:v>
      </x:c>
      <x:c r="W7" s="23" t="str"/>
    </x:row>
    <x:row r="8" ht="33" customHeight="1">
      <x:c r="A8" s="23" t="str">
        <x:v>NAS-03</x:v>
      </x:c>
      <x:c r="B8" s="23" t="str">
        <x:v>Em Downs Line Dancing</x:v>
      </x:c>
      <x:c r="C8" s="23" t="str">
        <x:v>Nashville</x:v>
      </x:c>
      <x:c r="D8" s="23" t="str">
        <x:v>Unknown</x:v>
      </x:c>
      <x:c r="E8" s="23" t="str">
        <x:v>Not discussed</x:v>
      </x:c>
      <x:c r="F8" s="23" t="str">
        <x:v>Not selected</x:v>
      </x:c>
      <x:c r="G8" s="24"/>
      <x:c r="H8" s="24"/>
      <x:c r="I8" s="23" t="str">
        <x:v>No</x:v>
      </x:c>
      <x:c r="J8" s="23" t="str">
        <x:v>No</x:v>
      </x:c>
      <x:c r="K8" s="23" t="str">
        <x:v>No</x:v>
      </x:c>
      <x:c r="L8" s="24"/>
      <x:c r="M8" s="25" t="str"/>
      <x:c r="N8" s="23" t="str">
        <x:v>No</x:v>
      </x:c>
      <x:c r="O8" s="24"/>
      <x:c r="P8" s="23" t="str">
        <x:v>No</x:v>
      </x:c>
      <x:c r="Q8" s="23" t="str">
        <x:v>No</x:v>
      </x:c>
      <x:c r="R8" s="23" t="str">
        <x:v>No</x:v>
      </x:c>
      <x:c r="S8" s="23" t="str">
        <x:v>Not started</x:v>
      </x:c>
      <x:c r="T8" s="25" t="str"/>
      <x:c r="U8" s="23" t="str">
        <x:v>Not started</x:v>
      </x:c>
      <x:c r="V8" s="23" t="str">
        <x:f>IF(S8="Published","Published",IF(Q8="Yes","Signed up",IF(K8="Yes","Content posted",IF(I8="Yes","Content received",IF(D8="Yes","Agreed",IF(D8="No","Declined","Not started"))))))</x:f>
        <x:v>Not started</x:v>
      </x:c>
      <x:c r="W8" s="23" t="str"/>
    </x:row>
    <x:row r="9" ht="33" customHeight="1">
      <x:c r="A9" s="23" t="str">
        <x:v>NAS-04</x:v>
      </x:c>
      <x:c r="B9" s="23" t="str">
        <x:v>Line Dance Chance</x:v>
      </x:c>
      <x:c r="C9" s="23" t="str">
        <x:v>Nashville</x:v>
      </x:c>
      <x:c r="D9" s="23" t="str">
        <x:v>Unknown</x:v>
      </x:c>
      <x:c r="E9" s="23" t="str">
        <x:v>Not discussed</x:v>
      </x:c>
      <x:c r="F9" s="23" t="str">
        <x:v>Not selected</x:v>
      </x:c>
      <x:c r="G9" s="24"/>
      <x:c r="H9" s="24"/>
      <x:c r="I9" s="23" t="str">
        <x:v>No</x:v>
      </x:c>
      <x:c r="J9" s="23" t="str">
        <x:v>No</x:v>
      </x:c>
      <x:c r="K9" s="23" t="str">
        <x:v>No</x:v>
      </x:c>
      <x:c r="L9" s="24"/>
      <x:c r="M9" s="25" t="str"/>
      <x:c r="N9" s="23" t="str">
        <x:v>No</x:v>
      </x:c>
      <x:c r="O9" s="24"/>
      <x:c r="P9" s="23" t="str">
        <x:v>No</x:v>
      </x:c>
      <x:c r="Q9" s="23" t="str">
        <x:v>No</x:v>
      </x:c>
      <x:c r="R9" s="23" t="str">
        <x:v>No</x:v>
      </x:c>
      <x:c r="S9" s="23" t="str">
        <x:v>Not started</x:v>
      </x:c>
      <x:c r="T9" s="25" t="str"/>
      <x:c r="U9" s="23" t="str">
        <x:v>Not started</x:v>
      </x:c>
      <x:c r="V9" s="23" t="str">
        <x:f>IF(S9="Published","Published",IF(Q9="Yes","Signed up",IF(K9="Yes","Content posted",IF(I9="Yes","Content received",IF(D9="Yes","Agreed",IF(D9="No","Declined","Not started"))))))</x:f>
        <x:v>Not started</x:v>
      </x:c>
      <x:c r="W9" s="23" t="str"/>
    </x:row>
    <x:row r="10" ht="33" customHeight="1">
      <x:c r="A10" s="23" t="str">
        <x:v>NAS-05</x:v>
      </x:c>
      <x:c r="B10" s="23" t="str">
        <x:v>Tennessee Backroad Line Dancing</x:v>
      </x:c>
      <x:c r="C10" s="23" t="str">
        <x:v>Nashville</x:v>
      </x:c>
      <x:c r="D10" s="23" t="str">
        <x:v>Unknown</x:v>
      </x:c>
      <x:c r="E10" s="23" t="str">
        <x:v>Not discussed</x:v>
      </x:c>
      <x:c r="F10" s="23" t="str">
        <x:v>Not selected</x:v>
      </x:c>
      <x:c r="G10" s="24"/>
      <x:c r="H10" s="24"/>
      <x:c r="I10" s="23" t="str">
        <x:v>No</x:v>
      </x:c>
      <x:c r="J10" s="23" t="str">
        <x:v>No</x:v>
      </x:c>
      <x:c r="K10" s="23" t="str">
        <x:v>No</x:v>
      </x:c>
      <x:c r="L10" s="24"/>
      <x:c r="M10" s="25" t="str"/>
      <x:c r="N10" s="23" t="str">
        <x:v>No</x:v>
      </x:c>
      <x:c r="O10" s="24"/>
      <x:c r="P10" s="23" t="str">
        <x:v>No</x:v>
      </x:c>
      <x:c r="Q10" s="23" t="str">
        <x:v>No</x:v>
      </x:c>
      <x:c r="R10" s="23" t="str">
        <x:v>No</x:v>
      </x:c>
      <x:c r="S10" s="23" t="str">
        <x:v>Not started</x:v>
      </x:c>
      <x:c r="T10" s="25" t="str"/>
      <x:c r="U10" s="23" t="str">
        <x:v>Not started</x:v>
      </x:c>
      <x:c r="V10" s="23" t="str">
        <x:f>IF(S10="Published","Published",IF(Q10="Yes","Signed up",IF(K10="Yes","Content posted",IF(I10="Yes","Content received",IF(D10="Yes","Agreed",IF(D10="No","Declined","Not started"))))))</x:f>
        <x:v>Not started</x:v>
      </x:c>
      <x:c r="W10" s="23" t="str"/>
    </x:row>
    <x:row r="11" ht="33" customHeight="1">
      <x:c r="A11" s="23" t="str">
        <x:v>NAS-06</x:v>
      </x:c>
      <x:c r="B11" s="23" t="str">
        <x:v>Tennessee Backroad Line Dancing</x:v>
      </x:c>
      <x:c r="C11" s="23" t="str">
        <x:v>Nashville</x:v>
      </x:c>
      <x:c r="D11" s="23" t="str">
        <x:v>Unknown</x:v>
      </x:c>
      <x:c r="E11" s="23" t="str">
        <x:v>Not discussed</x:v>
      </x:c>
      <x:c r="F11" s="23" t="str">
        <x:v>Not selected</x:v>
      </x:c>
      <x:c r="G11" s="24"/>
      <x:c r="H11" s="24"/>
      <x:c r="I11" s="23" t="str">
        <x:v>No</x:v>
      </x:c>
      <x:c r="J11" s="23" t="str">
        <x:v>No</x:v>
      </x:c>
      <x:c r="K11" s="23" t="str">
        <x:v>No</x:v>
      </x:c>
      <x:c r="L11" s="24"/>
      <x:c r="M11" s="25" t="str"/>
      <x:c r="N11" s="23" t="str">
        <x:v>No</x:v>
      </x:c>
      <x:c r="O11" s="24"/>
      <x:c r="P11" s="23" t="str">
        <x:v>No</x:v>
      </x:c>
      <x:c r="Q11" s="23" t="str">
        <x:v>No</x:v>
      </x:c>
      <x:c r="R11" s="23" t="str">
        <x:v>No</x:v>
      </x:c>
      <x:c r="S11" s="23" t="str">
        <x:v>Not started</x:v>
      </x:c>
      <x:c r="T11" s="25" t="str"/>
      <x:c r="U11" s="23" t="str">
        <x:v>Not started</x:v>
      </x:c>
      <x:c r="V11" s="23" t="str">
        <x:f>IF(S11="Published","Published",IF(Q11="Yes","Signed up",IF(K11="Yes","Content posted",IF(I11="Yes","Content received",IF(D11="Yes","Agreed",IF(D11="No","Declined","Not started"))))))</x:f>
        <x:v>Not started</x:v>
      </x:c>
      <x:c r="W11" s="23" t="str"/>
    </x:row>
    <x:row r="12" ht="33" customHeight="1">
      <x:c r="A12" s="23" t="str">
        <x:v>NAS-07</x:v>
      </x:c>
      <x:c r="B12" s="23" t="str">
        <x:v>New Boots Line Dancing</x:v>
      </x:c>
      <x:c r="C12" s="23" t="str">
        <x:v>Nashville</x:v>
      </x:c>
      <x:c r="D12" s="23" t="str">
        <x:v>Unknown</x:v>
      </x:c>
      <x:c r="E12" s="23" t="str">
        <x:v>Not discussed</x:v>
      </x:c>
      <x:c r="F12" s="23" t="str">
        <x:v>Not selected</x:v>
      </x:c>
      <x:c r="G12" s="24"/>
      <x:c r="H12" s="24"/>
      <x:c r="I12" s="23" t="str">
        <x:v>No</x:v>
      </x:c>
      <x:c r="J12" s="23" t="str">
        <x:v>No</x:v>
      </x:c>
      <x:c r="K12" s="23" t="str">
        <x:v>No</x:v>
      </x:c>
      <x:c r="L12" s="24"/>
      <x:c r="M12" s="25" t="str"/>
      <x:c r="N12" s="23" t="str">
        <x:v>No</x:v>
      </x:c>
      <x:c r="O12" s="24"/>
      <x:c r="P12" s="23" t="str">
        <x:v>No</x:v>
      </x:c>
      <x:c r="Q12" s="23" t="str">
        <x:v>No</x:v>
      </x:c>
      <x:c r="R12" s="23" t="str">
        <x:v>No</x:v>
      </x:c>
      <x:c r="S12" s="23" t="str">
        <x:v>Not started</x:v>
      </x:c>
      <x:c r="T12" s="25" t="str"/>
      <x:c r="U12" s="23" t="str">
        <x:v>Not started</x:v>
      </x:c>
      <x:c r="V12" s="23" t="str">
        <x:f>IF(S12="Published","Published",IF(Q12="Yes","Signed up",IF(K12="Yes","Content posted",IF(I12="Yes","Content received",IF(D12="Yes","Agreed",IF(D12="No","Declined","Not started"))))))</x:f>
        <x:v>Not started</x:v>
      </x:c>
      <x:c r="W12" s="23" t="str"/>
    </x:row>
    <x:row r="13" ht="33" customHeight="1">
      <x:c r="A13" s="23" t="str">
        <x:v>NAS-08</x:v>
      </x:c>
      <x:c r="B13" s="23" t="str">
        <x:v>New Boots Line Dancing</x:v>
      </x:c>
      <x:c r="C13" s="23" t="str">
        <x:v>Nashville</x:v>
      </x:c>
      <x:c r="D13" s="23" t="str">
        <x:v>Unknown</x:v>
      </x:c>
      <x:c r="E13" s="23" t="str">
        <x:v>Not discussed</x:v>
      </x:c>
      <x:c r="F13" s="23" t="str">
        <x:v>Not selected</x:v>
      </x:c>
      <x:c r="G13" s="24"/>
      <x:c r="H13" s="24"/>
      <x:c r="I13" s="23" t="str">
        <x:v>No</x:v>
      </x:c>
      <x:c r="J13" s="23" t="str">
        <x:v>No</x:v>
      </x:c>
      <x:c r="K13" s="23" t="str">
        <x:v>No</x:v>
      </x:c>
      <x:c r="L13" s="24"/>
      <x:c r="M13" s="25" t="str"/>
      <x:c r="N13" s="23" t="str">
        <x:v>No</x:v>
      </x:c>
      <x:c r="O13" s="24"/>
      <x:c r="P13" s="23" t="str">
        <x:v>No</x:v>
      </x:c>
      <x:c r="Q13" s="23" t="str">
        <x:v>No</x:v>
      </x:c>
      <x:c r="R13" s="23" t="str">
        <x:v>No</x:v>
      </x:c>
      <x:c r="S13" s="23" t="str">
        <x:v>Not started</x:v>
      </x:c>
      <x:c r="T13" s="25" t="str"/>
      <x:c r="U13" s="23" t="str">
        <x:v>Not started</x:v>
      </x:c>
      <x:c r="V13" s="23" t="str">
        <x:f>IF(S13="Published","Published",IF(Q13="Yes","Signed up",IF(K13="Yes","Content posted",IF(I13="Yes","Content received",IF(D13="Yes","Agreed",IF(D13="No","Declined","Not started"))))))</x:f>
        <x:v>Not started</x:v>
      </x:c>
      <x:c r="W13" s="23" t="str"/>
    </x:row>
    <x:row r="14" ht="33" customHeight="1">
      <x:c r="A14" s="23" t="str">
        <x:v>NAS-09</x:v>
      </x:c>
      <x:c r="B14" s="23" t="str">
        <x:v>STEP Country Swing &amp; Dance</x:v>
      </x:c>
      <x:c r="C14" s="23" t="str">
        <x:v>Nashville</x:v>
      </x:c>
      <x:c r="D14" s="23" t="str">
        <x:v>Unknown</x:v>
      </x:c>
      <x:c r="E14" s="23" t="str">
        <x:v>Not discussed</x:v>
      </x:c>
      <x:c r="F14" s="23" t="str">
        <x:v>Not selected</x:v>
      </x:c>
      <x:c r="G14" s="24"/>
      <x:c r="H14" s="24"/>
      <x:c r="I14" s="23" t="str">
        <x:v>No</x:v>
      </x:c>
      <x:c r="J14" s="23" t="str">
        <x:v>No</x:v>
      </x:c>
      <x:c r="K14" s="23" t="str">
        <x:v>No</x:v>
      </x:c>
      <x:c r="L14" s="24"/>
      <x:c r="M14" s="25" t="str"/>
      <x:c r="N14" s="23" t="str">
        <x:v>No</x:v>
      </x:c>
      <x:c r="O14" s="24"/>
      <x:c r="P14" s="23" t="str">
        <x:v>No</x:v>
      </x:c>
      <x:c r="Q14" s="23" t="str">
        <x:v>No</x:v>
      </x:c>
      <x:c r="R14" s="23" t="str">
        <x:v>No</x:v>
      </x:c>
      <x:c r="S14" s="23" t="str">
        <x:v>Not started</x:v>
      </x:c>
      <x:c r="T14" s="25" t="str"/>
      <x:c r="U14" s="23" t="str">
        <x:v>Not started</x:v>
      </x:c>
      <x:c r="V14" s="23" t="str">
        <x:f>IF(S14="Published","Published",IF(Q14="Yes","Signed up",IF(K14="Yes","Content posted",IF(I14="Yes","Content received",IF(D14="Yes","Agreed",IF(D14="No","Declined","Not started"))))))</x:f>
        <x:v>Not started</x:v>
      </x:c>
      <x:c r="W14" s="23" t="str"/>
    </x:row>
    <x:row r="15" ht="33" customHeight="1">
      <x:c r="A15" s="23" t="str">
        <x:v>NAS-10</x:v>
      </x:c>
      <x:c r="B15" s="23" t="str">
        <x:v>Lisa Marie Pezzarello Line Dance</x:v>
      </x:c>
      <x:c r="C15" s="23" t="str">
        <x:v>Nashville</x:v>
      </x:c>
      <x:c r="D15" s="23" t="str">
        <x:v>Unknown</x:v>
      </x:c>
      <x:c r="E15" s="23" t="str">
        <x:v>Not discussed</x:v>
      </x:c>
      <x:c r="F15" s="23" t="str">
        <x:v>Not selected</x:v>
      </x:c>
      <x:c r="G15" s="24"/>
      <x:c r="H15" s="24"/>
      <x:c r="I15" s="23" t="str">
        <x:v>No</x:v>
      </x:c>
      <x:c r="J15" s="23" t="str">
        <x:v>No</x:v>
      </x:c>
      <x:c r="K15" s="23" t="str">
        <x:v>No</x:v>
      </x:c>
      <x:c r="L15" s="24"/>
      <x:c r="M15" s="25" t="str"/>
      <x:c r="N15" s="23" t="str">
        <x:v>No</x:v>
      </x:c>
      <x:c r="O15" s="24"/>
      <x:c r="P15" s="23" t="str">
        <x:v>No</x:v>
      </x:c>
      <x:c r="Q15" s="23" t="str">
        <x:v>No</x:v>
      </x:c>
      <x:c r="R15" s="23" t="str">
        <x:v>No</x:v>
      </x:c>
      <x:c r="S15" s="23" t="str">
        <x:v>Not started</x:v>
      </x:c>
      <x:c r="T15" s="25" t="str"/>
      <x:c r="U15" s="23" t="str">
        <x:v>Not started</x:v>
      </x:c>
      <x:c r="V15" s="23" t="str">
        <x:f>IF(S15="Published","Published",IF(Q15="Yes","Signed up",IF(K15="Yes","Content posted",IF(I15="Yes","Content received",IF(D15="Yes","Agreed",IF(D15="No","Declined","Not started"))))))</x:f>
        <x:v>Not started</x:v>
      </x:c>
      <x:c r="W15" s="23" t="str"/>
    </x:row>
    <x:row r="16" ht="33" customHeight="1">
      <x:c r="A16" s="23" t="str">
        <x:v>FWT-01</x:v>
      </x:c>
      <x:c r="B16" s="23" t="str">
        <x:v>Dance Suzy</x:v>
      </x:c>
      <x:c r="C16" s="23" t="str">
        <x:v>Fort Worth</x:v>
      </x:c>
      <x:c r="D16" s="23" t="str">
        <x:v>Unknown</x:v>
      </x:c>
      <x:c r="E16" s="23" t="str">
        <x:v>Not discussed</x:v>
      </x:c>
      <x:c r="F16" s="23" t="str">
        <x:v>Not selected</x:v>
      </x:c>
      <x:c r="G16" s="24"/>
      <x:c r="H16" s="24"/>
      <x:c r="I16" s="23" t="str">
        <x:v>No</x:v>
      </x:c>
      <x:c r="J16" s="23" t="str">
        <x:v>No</x:v>
      </x:c>
      <x:c r="K16" s="23" t="str">
        <x:v>No</x:v>
      </x:c>
      <x:c r="L16" s="24"/>
      <x:c r="M16" s="25" t="str"/>
      <x:c r="N16" s="23" t="str">
        <x:v>No</x:v>
      </x:c>
      <x:c r="O16" s="24"/>
      <x:c r="P16" s="23" t="str">
        <x:v>No</x:v>
      </x:c>
      <x:c r="Q16" s="23" t="str">
        <x:v>No</x:v>
      </x:c>
      <x:c r="R16" s="23" t="str">
        <x:v>No</x:v>
      </x:c>
      <x:c r="S16" s="23" t="str">
        <x:v>Not started</x:v>
      </x:c>
      <x:c r="T16" s="25" t="str"/>
      <x:c r="U16" s="23" t="str">
        <x:v>Not started</x:v>
      </x:c>
      <x:c r="V16" s="23" t="str">
        <x:f>IF(S16="Published","Published",IF(Q16="Yes","Signed up",IF(K16="Yes","Content posted",IF(I16="Yes","Content received",IF(D16="Yes","Agreed",IF(D16="No","Declined","Not started"))))))</x:f>
        <x:v>Not started</x:v>
      </x:c>
      <x:c r="W16" s="23" t="str"/>
    </x:row>
    <x:row r="17" ht="33" customHeight="1">
      <x:c r="A17" s="23" t="str">
        <x:v>FWT-02</x:v>
      </x:c>
      <x:c r="B17" s="23" t="str">
        <x:v>Billy Bob's Texas Dance Lessons</x:v>
      </x:c>
      <x:c r="C17" s="23" t="str">
        <x:v>Fort Worth</x:v>
      </x:c>
      <x:c r="D17" s="23" t="str">
        <x:v>Unknown</x:v>
      </x:c>
      <x:c r="E17" s="23" t="str">
        <x:v>Not discussed</x:v>
      </x:c>
      <x:c r="F17" s="23" t="str">
        <x:v>Not selected</x:v>
      </x:c>
      <x:c r="G17" s="24"/>
      <x:c r="H17" s="24"/>
      <x:c r="I17" s="23" t="str">
        <x:v>No</x:v>
      </x:c>
      <x:c r="J17" s="23" t="str">
        <x:v>No</x:v>
      </x:c>
      <x:c r="K17" s="23" t="str">
        <x:v>No</x:v>
      </x:c>
      <x:c r="L17" s="24"/>
      <x:c r="M17" s="25" t="str"/>
      <x:c r="N17" s="23" t="str">
        <x:v>No</x:v>
      </x:c>
      <x:c r="O17" s="24"/>
      <x:c r="P17" s="23" t="str">
        <x:v>No</x:v>
      </x:c>
      <x:c r="Q17" s="23" t="str">
        <x:v>No</x:v>
      </x:c>
      <x:c r="R17" s="23" t="str">
        <x:v>No</x:v>
      </x:c>
      <x:c r="S17" s="23" t="str">
        <x:v>Not started</x:v>
      </x:c>
      <x:c r="T17" s="25" t="str"/>
      <x:c r="U17" s="23" t="str">
        <x:v>Not started</x:v>
      </x:c>
      <x:c r="V17" s="23" t="str">
        <x:f>IF(S17="Published","Published",IF(Q17="Yes","Signed up",IF(K17="Yes","Content posted",IF(I17="Yes","Content received",IF(D17="Yes","Agreed",IF(D17="No","Declined","Not started"))))))</x:f>
        <x:v>Not started</x:v>
      </x:c>
      <x:c r="W17" s="23" t="str"/>
    </x:row>
    <x:row r="18" ht="33" customHeight="1">
      <x:c r="A18" s="23" t="str">
        <x:v>FWT-03</x:v>
      </x:c>
      <x:c r="B18" s="23" t="str">
        <x:v>Billy Bob's Texas Dance Lessons</x:v>
      </x:c>
      <x:c r="C18" s="23" t="str">
        <x:v>Fort Worth</x:v>
      </x:c>
      <x:c r="D18" s="23" t="str">
        <x:v>Unknown</x:v>
      </x:c>
      <x:c r="E18" s="23" t="str">
        <x:v>Not discussed</x:v>
      </x:c>
      <x:c r="F18" s="23" t="str">
        <x:v>Not selected</x:v>
      </x:c>
      <x:c r="G18" s="24"/>
      <x:c r="H18" s="24"/>
      <x:c r="I18" s="23" t="str">
        <x:v>No</x:v>
      </x:c>
      <x:c r="J18" s="23" t="str">
        <x:v>No</x:v>
      </x:c>
      <x:c r="K18" s="23" t="str">
        <x:v>No</x:v>
      </x:c>
      <x:c r="L18" s="24"/>
      <x:c r="M18" s="25" t="str"/>
      <x:c r="N18" s="23" t="str">
        <x:v>No</x:v>
      </x:c>
      <x:c r="O18" s="24"/>
      <x:c r="P18" s="23" t="str">
        <x:v>No</x:v>
      </x:c>
      <x:c r="Q18" s="23" t="str">
        <x:v>No</x:v>
      </x:c>
      <x:c r="R18" s="23" t="str">
        <x:v>No</x:v>
      </x:c>
      <x:c r="S18" s="23" t="str">
        <x:v>Not started</x:v>
      </x:c>
      <x:c r="T18" s="25" t="str"/>
      <x:c r="U18" s="23" t="str">
        <x:v>Not started</x:v>
      </x:c>
      <x:c r="V18" s="23" t="str">
        <x:f>IF(S18="Published","Published",IF(Q18="Yes","Signed up",IF(K18="Yes","Content posted",IF(I18="Yes","Content received",IF(D18="Yes","Agreed",IF(D18="No","Declined","Not started"))))))</x:f>
        <x:v>Not started</x:v>
      </x:c>
      <x:c r="W18" s="23" t="str"/>
    </x:row>
    <x:row r="19" ht="33" customHeight="1">
      <x:c r="A19" s="23" t="str">
        <x:v>FWT-04</x:v>
      </x:c>
      <x:c r="B19" s="23" t="str">
        <x:v>Independent Fort Worth Instructor</x:v>
      </x:c>
      <x:c r="C19" s="23" t="str">
        <x:v>Fort Worth</x:v>
      </x:c>
      <x:c r="D19" s="23" t="str">
        <x:v>Unknown</x:v>
      </x:c>
      <x:c r="E19" s="23" t="str">
        <x:v>Not discussed</x:v>
      </x:c>
      <x:c r="F19" s="23" t="str">
        <x:v>Not selected</x:v>
      </x:c>
      <x:c r="G19" s="24"/>
      <x:c r="H19" s="24"/>
      <x:c r="I19" s="23" t="str">
        <x:v>No</x:v>
      </x:c>
      <x:c r="J19" s="23" t="str">
        <x:v>No</x:v>
      </x:c>
      <x:c r="K19" s="23" t="str">
        <x:v>No</x:v>
      </x:c>
      <x:c r="L19" s="24"/>
      <x:c r="M19" s="25" t="str"/>
      <x:c r="N19" s="23" t="str">
        <x:v>No</x:v>
      </x:c>
      <x:c r="O19" s="24"/>
      <x:c r="P19" s="23" t="str">
        <x:v>No</x:v>
      </x:c>
      <x:c r="Q19" s="23" t="str">
        <x:v>No</x:v>
      </x:c>
      <x:c r="R19" s="23" t="str">
        <x:v>No</x:v>
      </x:c>
      <x:c r="S19" s="23" t="str">
        <x:v>Not started</x:v>
      </x:c>
      <x:c r="T19" s="25" t="str"/>
      <x:c r="U19" s="23" t="str">
        <x:v>Not started</x:v>
      </x:c>
      <x:c r="V19" s="23" t="str">
        <x:f>IF(S19="Published","Published",IF(Q19="Yes","Signed up",IF(K19="Yes","Content posted",IF(I19="Yes","Content received",IF(D19="Yes","Agreed",IF(D19="No","Declined","Not started"))))))</x:f>
        <x:v>Not started</x:v>
      </x:c>
      <x:c r="W19" s="23" t="str"/>
    </x:row>
    <x:row r="20" ht="33" customHeight="1">
      <x:c r="A20" s="23" t="str">
        <x:v>FWT-05</x:v>
      </x:c>
      <x:c r="B20" s="23" t="str">
        <x:v>Independent Fort Worth Instructor</x:v>
      </x:c>
      <x:c r="C20" s="23" t="str">
        <x:v>Fort Worth</x:v>
      </x:c>
      <x:c r="D20" s="23" t="str">
        <x:v>Unknown</x:v>
      </x:c>
      <x:c r="E20" s="23" t="str">
        <x:v>Not discussed</x:v>
      </x:c>
      <x:c r="F20" s="23" t="str">
        <x:v>Not selected</x:v>
      </x:c>
      <x:c r="G20" s="24"/>
      <x:c r="H20" s="24"/>
      <x:c r="I20" s="23" t="str">
        <x:v>No</x:v>
      </x:c>
      <x:c r="J20" s="23" t="str">
        <x:v>No</x:v>
      </x:c>
      <x:c r="K20" s="23" t="str">
        <x:v>No</x:v>
      </x:c>
      <x:c r="L20" s="24"/>
      <x:c r="M20" s="25" t="str"/>
      <x:c r="N20" s="23" t="str">
        <x:v>No</x:v>
      </x:c>
      <x:c r="O20" s="24"/>
      <x:c r="P20" s="23" t="str">
        <x:v>No</x:v>
      </x:c>
      <x:c r="Q20" s="23" t="str">
        <x:v>No</x:v>
      </x:c>
      <x:c r="R20" s="23" t="str">
        <x:v>No</x:v>
      </x:c>
      <x:c r="S20" s="23" t="str">
        <x:v>Not started</x:v>
      </x:c>
      <x:c r="T20" s="25" t="str"/>
      <x:c r="U20" s="23" t="str">
        <x:v>Not started</x:v>
      </x:c>
      <x:c r="V20" s="23" t="str">
        <x:f>IF(S20="Published","Published",IF(Q20="Yes","Signed up",IF(K20="Yes","Content posted",IF(I20="Yes","Content received",IF(D20="Yes","Agreed",IF(D20="No","Declined","Not started"))))))</x:f>
        <x:v>Not started</x:v>
      </x:c>
      <x:c r="W20" s="23" t="str"/>
    </x:row>
    <x:row r="21" ht="33" customHeight="1">
      <x:c r="A21" s="23" t="str">
        <x:v>FWT-06</x:v>
      </x:c>
      <x:c r="B21" s="23" t="str">
        <x:v>Independent Fort Worth Instructor</x:v>
      </x:c>
      <x:c r="C21" s="23" t="str">
        <x:v>Fort Worth</x:v>
      </x:c>
      <x:c r="D21" s="23" t="str">
        <x:v>Unknown</x:v>
      </x:c>
      <x:c r="E21" s="23" t="str">
        <x:v>Not discussed</x:v>
      </x:c>
      <x:c r="F21" s="23" t="str">
        <x:v>Not selected</x:v>
      </x:c>
      <x:c r="G21" s="24"/>
      <x:c r="H21" s="24"/>
      <x:c r="I21" s="23" t="str">
        <x:v>No</x:v>
      </x:c>
      <x:c r="J21" s="23" t="str">
        <x:v>No</x:v>
      </x:c>
      <x:c r="K21" s="23" t="str">
        <x:v>No</x:v>
      </x:c>
      <x:c r="L21" s="24"/>
      <x:c r="M21" s="25" t="str"/>
      <x:c r="N21" s="23" t="str">
        <x:v>No</x:v>
      </x:c>
      <x:c r="O21" s="24"/>
      <x:c r="P21" s="23" t="str">
        <x:v>No</x:v>
      </x:c>
      <x:c r="Q21" s="23" t="str">
        <x:v>No</x:v>
      </x:c>
      <x:c r="R21" s="23" t="str">
        <x:v>No</x:v>
      </x:c>
      <x:c r="S21" s="23" t="str">
        <x:v>Not started</x:v>
      </x:c>
      <x:c r="T21" s="25" t="str"/>
      <x:c r="U21" s="23" t="str">
        <x:v>Not started</x:v>
      </x:c>
      <x:c r="V21" s="23" t="str">
        <x:f>IF(S21="Published","Published",IF(Q21="Yes","Signed up",IF(K21="Yes","Content posted",IF(I21="Yes","Content received",IF(D21="Yes","Agreed",IF(D21="No","Declined","Not started"))))))</x:f>
        <x:v>Not started</x:v>
      </x:c>
      <x:c r="W21" s="23" t="str"/>
    </x:row>
    <x:row r="22" ht="33" customHeight="1">
      <x:c r="A22" s="23" t="str">
        <x:v>FWT-07</x:v>
      </x:c>
      <x:c r="B22" s="23" t="str">
        <x:v>Independent Fort Worth Instructor</x:v>
      </x:c>
      <x:c r="C22" s="23" t="str">
        <x:v>Fort Worth</x:v>
      </x:c>
      <x:c r="D22" s="23" t="str">
        <x:v>Unknown</x:v>
      </x:c>
      <x:c r="E22" s="23" t="str">
        <x:v>Not discussed</x:v>
      </x:c>
      <x:c r="F22" s="23" t="str">
        <x:v>Not selected</x:v>
      </x:c>
      <x:c r="G22" s="24"/>
      <x:c r="H22" s="24"/>
      <x:c r="I22" s="23" t="str">
        <x:v>No</x:v>
      </x:c>
      <x:c r="J22" s="23" t="str">
        <x:v>No</x:v>
      </x:c>
      <x:c r="K22" s="23" t="str">
        <x:v>No</x:v>
      </x:c>
      <x:c r="L22" s="24"/>
      <x:c r="M22" s="25" t="str"/>
      <x:c r="N22" s="23" t="str">
        <x:v>No</x:v>
      </x:c>
      <x:c r="O22" s="24"/>
      <x:c r="P22" s="23" t="str">
        <x:v>No</x:v>
      </x:c>
      <x:c r="Q22" s="23" t="str">
        <x:v>No</x:v>
      </x:c>
      <x:c r="R22" s="23" t="str">
        <x:v>No</x:v>
      </x:c>
      <x:c r="S22" s="23" t="str">
        <x:v>Not started</x:v>
      </x:c>
      <x:c r="T22" s="25" t="str"/>
      <x:c r="U22" s="23" t="str">
        <x:v>Not started</x:v>
      </x:c>
      <x:c r="V22" s="23" t="str">
        <x:f>IF(S22="Published","Published",IF(Q22="Yes","Signed up",IF(K22="Yes","Content posted",IF(I22="Yes","Content received",IF(D22="Yes","Agreed",IF(D22="No","Declined","Not started"))))))</x:f>
        <x:v>Not started</x:v>
      </x:c>
      <x:c r="W22" s="23" t="str"/>
    </x:row>
    <x:row r="23" ht="33" customHeight="1">
      <x:c r="A23" s="23" t="str">
        <x:v>FWT-08</x:v>
      </x:c>
      <x:c r="B23" s="23" t="str">
        <x:v>Dance With Briana</x:v>
      </x:c>
      <x:c r="C23" s="23" t="str">
        <x:v>Fort Worth</x:v>
      </x:c>
      <x:c r="D23" s="23" t="str">
        <x:v>Unknown</x:v>
      </x:c>
      <x:c r="E23" s="23" t="str">
        <x:v>Not discussed</x:v>
      </x:c>
      <x:c r="F23" s="23" t="str">
        <x:v>Not selected</x:v>
      </x:c>
      <x:c r="G23" s="24"/>
      <x:c r="H23" s="24"/>
      <x:c r="I23" s="23" t="str">
        <x:v>No</x:v>
      </x:c>
      <x:c r="J23" s="23" t="str">
        <x:v>No</x:v>
      </x:c>
      <x:c r="K23" s="23" t="str">
        <x:v>No</x:v>
      </x:c>
      <x:c r="L23" s="24"/>
      <x:c r="M23" s="25" t="str"/>
      <x:c r="N23" s="23" t="str">
        <x:v>No</x:v>
      </x:c>
      <x:c r="O23" s="24"/>
      <x:c r="P23" s="23" t="str">
        <x:v>No</x:v>
      </x:c>
      <x:c r="Q23" s="23" t="str">
        <x:v>No</x:v>
      </x:c>
      <x:c r="R23" s="23" t="str">
        <x:v>No</x:v>
      </x:c>
      <x:c r="S23" s="23" t="str">
        <x:v>Not started</x:v>
      </x:c>
      <x:c r="T23" s="25" t="str"/>
      <x:c r="U23" s="23" t="str">
        <x:v>Not started</x:v>
      </x:c>
      <x:c r="V23" s="23" t="str">
        <x:f>IF(S23="Published","Published",IF(Q23="Yes","Signed up",IF(K23="Yes","Content posted",IF(I23="Yes","Content received",IF(D23="Yes","Agreed",IF(D23="No","Declined","Not started"))))))</x:f>
        <x:v>Not started</x:v>
      </x:c>
      <x:c r="W23" s="23" t="str"/>
    </x:row>
    <x:row r="24" ht="33" customHeight="1">
      <x:c r="A24" s="23" t="str">
        <x:v>FWT-09</x:v>
      </x:c>
      <x:c r="B24" s="23" t="str">
        <x:v>Southwest Collectors Association Line Dance</x:v>
      </x:c>
      <x:c r="C24" s="23" t="str">
        <x:v>Fort Worth</x:v>
      </x:c>
      <x:c r="D24" s="23" t="str">
        <x:v>Unknown</x:v>
      </x:c>
      <x:c r="E24" s="23" t="str">
        <x:v>Not discussed</x:v>
      </x:c>
      <x:c r="F24" s="23" t="str">
        <x:v>Not selected</x:v>
      </x:c>
      <x:c r="G24" s="24"/>
      <x:c r="H24" s="24"/>
      <x:c r="I24" s="23" t="str">
        <x:v>No</x:v>
      </x:c>
      <x:c r="J24" s="23" t="str">
        <x:v>No</x:v>
      </x:c>
      <x:c r="K24" s="23" t="str">
        <x:v>No</x:v>
      </x:c>
      <x:c r="L24" s="24"/>
      <x:c r="M24" s="25" t="str"/>
      <x:c r="N24" s="23" t="str">
        <x:v>No</x:v>
      </x:c>
      <x:c r="O24" s="24"/>
      <x:c r="P24" s="23" t="str">
        <x:v>No</x:v>
      </x:c>
      <x:c r="Q24" s="23" t="str">
        <x:v>No</x:v>
      </x:c>
      <x:c r="R24" s="23" t="str">
        <x:v>No</x:v>
      </x:c>
      <x:c r="S24" s="23" t="str">
        <x:v>Not started</x:v>
      </x:c>
      <x:c r="T24" s="25" t="str"/>
      <x:c r="U24" s="23" t="str">
        <x:v>Not started</x:v>
      </x:c>
      <x:c r="V24" s="23" t="str">
        <x:f>IF(S24="Published","Published",IF(Q24="Yes","Signed up",IF(K24="Yes","Content posted",IF(I24="Yes","Content received",IF(D24="Yes","Agreed",IF(D24="No","Declined","Not started"))))))</x:f>
        <x:v>Not started</x:v>
      </x:c>
      <x:c r="W24" s="23" t="str"/>
    </x:row>
    <x:row r="25" ht="33" customHeight="1">
      <x:c r="A25" s="23" t="str">
        <x:v>FWT-10</x:v>
      </x:c>
      <x:c r="B25" s="23" t="str">
        <x:v>Southwest Collectors Association Line Dance</x:v>
      </x:c>
      <x:c r="C25" s="23" t="str">
        <x:v>Fort Worth</x:v>
      </x:c>
      <x:c r="D25" s="23" t="str">
        <x:v>Unknown</x:v>
      </x:c>
      <x:c r="E25" s="23" t="str">
        <x:v>Not discussed</x:v>
      </x:c>
      <x:c r="F25" s="23" t="str">
        <x:v>Not selected</x:v>
      </x:c>
      <x:c r="G25" s="24"/>
      <x:c r="H25" s="24"/>
      <x:c r="I25" s="23" t="str">
        <x:v>No</x:v>
      </x:c>
      <x:c r="J25" s="23" t="str">
        <x:v>No</x:v>
      </x:c>
      <x:c r="K25" s="23" t="str">
        <x:v>No</x:v>
      </x:c>
      <x:c r="L25" s="24"/>
      <x:c r="M25" s="25" t="str"/>
      <x:c r="N25" s="23" t="str">
        <x:v>No</x:v>
      </x:c>
      <x:c r="O25" s="24"/>
      <x:c r="P25" s="23" t="str">
        <x:v>No</x:v>
      </x:c>
      <x:c r="Q25" s="23" t="str">
        <x:v>No</x:v>
      </x:c>
      <x:c r="R25" s="23" t="str">
        <x:v>No</x:v>
      </x:c>
      <x:c r="S25" s="23" t="str">
        <x:v>Not started</x:v>
      </x:c>
      <x:c r="T25" s="25" t="str"/>
      <x:c r="U25" s="23" t="str">
        <x:v>Not started</x:v>
      </x:c>
      <x:c r="V25" s="23" t="str">
        <x:f>IF(S25="Published","Published",IF(Q25="Yes","Signed up",IF(K25="Yes","Content posted",IF(I25="Yes","Content received",IF(D25="Yes","Agreed",IF(D25="No","Declined","Not started"))))))</x:f>
        <x:v>Not started</x:v>
      </x:c>
      <x:c r="W25" s="23" t="str"/>
    </x:row>
    <x:row r="26" ht="33" customHeight="1">
      <x:c r="A26" s="23" t="str">
        <x:v>AUS-01</x:v>
      </x:c>
      <x:c r="B26" s="23" t="str">
        <x:v>Double or Nothing Two-Step</x:v>
      </x:c>
      <x:c r="C26" s="23" t="str">
        <x:v>Austin</x:v>
      </x:c>
      <x:c r="D26" s="23" t="str">
        <x:v>Unknown</x:v>
      </x:c>
      <x:c r="E26" s="23" t="str">
        <x:v>Not discussed</x:v>
      </x:c>
      <x:c r="F26" s="23" t="str">
        <x:v>Not selected</x:v>
      </x:c>
      <x:c r="G26" s="24"/>
      <x:c r="H26" s="24"/>
      <x:c r="I26" s="23" t="str">
        <x:v>No</x:v>
      </x:c>
      <x:c r="J26" s="23" t="str">
        <x:v>No</x:v>
      </x:c>
      <x:c r="K26" s="23" t="str">
        <x:v>No</x:v>
      </x:c>
      <x:c r="L26" s="24"/>
      <x:c r="M26" s="25" t="str"/>
      <x:c r="N26" s="23" t="str">
        <x:v>No</x:v>
      </x:c>
      <x:c r="O26" s="24"/>
      <x:c r="P26" s="23" t="str">
        <x:v>No</x:v>
      </x:c>
      <x:c r="Q26" s="23" t="str">
        <x:v>No</x:v>
      </x:c>
      <x:c r="R26" s="23" t="str">
        <x:v>No</x:v>
      </x:c>
      <x:c r="S26" s="23" t="str">
        <x:v>Not started</x:v>
      </x:c>
      <x:c r="T26" s="25" t="str"/>
      <x:c r="U26" s="23" t="str">
        <x:v>Not started</x:v>
      </x:c>
      <x:c r="V26" s="23" t="str">
        <x:f>IF(S26="Published","Published",IF(Q26="Yes","Signed up",IF(K26="Yes","Content posted",IF(I26="Yes","Content received",IF(D26="Yes","Agreed",IF(D26="No","Declined","Not started"))))))</x:f>
        <x:v>Not started</x:v>
      </x:c>
      <x:c r="W26" s="23" t="str"/>
    </x:row>
    <x:row r="27" ht="33" customHeight="1">
      <x:c r="A27" s="23" t="str">
        <x:v>AUS-02</x:v>
      </x:c>
      <x:c r="B27" s="23" t="str">
        <x:v>Country Fried Dance</x:v>
      </x:c>
      <x:c r="C27" s="23" t="str">
        <x:v>Austin</x:v>
      </x:c>
      <x:c r="D27" s="23" t="str">
        <x:v>Unknown</x:v>
      </x:c>
      <x:c r="E27" s="23" t="str">
        <x:v>Not discussed</x:v>
      </x:c>
      <x:c r="F27" s="23" t="str">
        <x:v>Not selected</x:v>
      </x:c>
      <x:c r="G27" s="24"/>
      <x:c r="H27" s="24"/>
      <x:c r="I27" s="23" t="str">
        <x:v>No</x:v>
      </x:c>
      <x:c r="J27" s="23" t="str">
        <x:v>No</x:v>
      </x:c>
      <x:c r="K27" s="23" t="str">
        <x:v>No</x:v>
      </x:c>
      <x:c r="L27" s="24"/>
      <x:c r="M27" s="25" t="str"/>
      <x:c r="N27" s="23" t="str">
        <x:v>No</x:v>
      </x:c>
      <x:c r="O27" s="24"/>
      <x:c r="P27" s="23" t="str">
        <x:v>No</x:v>
      </x:c>
      <x:c r="Q27" s="23" t="str">
        <x:v>No</x:v>
      </x:c>
      <x:c r="R27" s="23" t="str">
        <x:v>No</x:v>
      </x:c>
      <x:c r="S27" s="23" t="str">
        <x:v>Not started</x:v>
      </x:c>
      <x:c r="T27" s="25" t="str"/>
      <x:c r="U27" s="23" t="str">
        <x:v>Not started</x:v>
      </x:c>
      <x:c r="V27" s="23" t="str">
        <x:f>IF(S27="Published","Published",IF(Q27="Yes","Signed up",IF(K27="Yes","Content posted",IF(I27="Yes","Content received",IF(D27="Yes","Agreed",IF(D27="No","Declined","Not started"))))))</x:f>
        <x:v>Not started</x:v>
      </x:c>
      <x:c r="W27" s="23" t="str"/>
    </x:row>
    <x:row r="28" ht="33" customHeight="1">
      <x:c r="A28" s="23" t="str">
        <x:v>AUS-03</x:v>
      </x:c>
      <x:c r="B28" s="23" t="str">
        <x:v>Native Texan Two Step</x:v>
      </x:c>
      <x:c r="C28" s="23" t="str">
        <x:v>Austin</x:v>
      </x:c>
      <x:c r="D28" s="23" t="str">
        <x:v>Unknown</x:v>
      </x:c>
      <x:c r="E28" s="23" t="str">
        <x:v>Not discussed</x:v>
      </x:c>
      <x:c r="F28" s="23" t="str">
        <x:v>Not selected</x:v>
      </x:c>
      <x:c r="G28" s="24"/>
      <x:c r="H28" s="24"/>
      <x:c r="I28" s="23" t="str">
        <x:v>No</x:v>
      </x:c>
      <x:c r="J28" s="23" t="str">
        <x:v>No</x:v>
      </x:c>
      <x:c r="K28" s="23" t="str">
        <x:v>No</x:v>
      </x:c>
      <x:c r="L28" s="24"/>
      <x:c r="M28" s="25" t="str"/>
      <x:c r="N28" s="23" t="str">
        <x:v>No</x:v>
      </x:c>
      <x:c r="O28" s="24"/>
      <x:c r="P28" s="23" t="str">
        <x:v>No</x:v>
      </x:c>
      <x:c r="Q28" s="23" t="str">
        <x:v>No</x:v>
      </x:c>
      <x:c r="R28" s="23" t="str">
        <x:v>No</x:v>
      </x:c>
      <x:c r="S28" s="23" t="str">
        <x:v>Not started</x:v>
      </x:c>
      <x:c r="T28" s="25" t="str"/>
      <x:c r="U28" s="23" t="str">
        <x:v>Not started</x:v>
      </x:c>
      <x:c r="V28" s="23" t="str">
        <x:f>IF(S28="Published","Published",IF(Q28="Yes","Signed up",IF(K28="Yes","Content posted",IF(I28="Yes","Content received",IF(D28="Yes","Agreed",IF(D28="No","Declined","Not started"))))))</x:f>
        <x:v>Not started</x:v>
      </x:c>
      <x:c r="W28" s="23" t="str"/>
    </x:row>
    <x:row r="29" ht="33" customHeight="1">
      <x:c r="A29" s="23" t="str">
        <x:v>AUS-04</x:v>
      </x:c>
      <x:c r="B29" s="23" t="str">
        <x:v>Native Texan Two Step</x:v>
      </x:c>
      <x:c r="C29" s="23" t="str">
        <x:v>Austin</x:v>
      </x:c>
      <x:c r="D29" s="23" t="str">
        <x:v>Unknown</x:v>
      </x:c>
      <x:c r="E29" s="23" t="str">
        <x:v>Not discussed</x:v>
      </x:c>
      <x:c r="F29" s="23" t="str">
        <x:v>Not selected</x:v>
      </x:c>
      <x:c r="G29" s="24"/>
      <x:c r="H29" s="24"/>
      <x:c r="I29" s="23" t="str">
        <x:v>No</x:v>
      </x:c>
      <x:c r="J29" s="23" t="str">
        <x:v>No</x:v>
      </x:c>
      <x:c r="K29" s="23" t="str">
        <x:v>No</x:v>
      </x:c>
      <x:c r="L29" s="24"/>
      <x:c r="M29" s="25" t="str"/>
      <x:c r="N29" s="23" t="str">
        <x:v>No</x:v>
      </x:c>
      <x:c r="O29" s="24"/>
      <x:c r="P29" s="23" t="str">
        <x:v>No</x:v>
      </x:c>
      <x:c r="Q29" s="23" t="str">
        <x:v>No</x:v>
      </x:c>
      <x:c r="R29" s="23" t="str">
        <x:v>No</x:v>
      </x:c>
      <x:c r="S29" s="23" t="str">
        <x:v>Not started</x:v>
      </x:c>
      <x:c r="T29" s="25" t="str"/>
      <x:c r="U29" s="23" t="str">
        <x:v>Not started</x:v>
      </x:c>
      <x:c r="V29" s="23" t="str">
        <x:f>IF(S29="Published","Published",IF(Q29="Yes","Signed up",IF(K29="Yes","Content posted",IF(I29="Yes","Content received",IF(D29="Yes","Agreed",IF(D29="No","Declined","Not started"))))))</x:f>
        <x:v>Not started</x:v>
      </x:c>
      <x:c r="W29" s="23" t="str"/>
    </x:row>
    <x:row r="30" ht="33" customHeight="1">
      <x:c r="A30" s="23" t="str">
        <x:v>AUS-05</x:v>
      </x:c>
      <x:c r="B30" s="23" t="str">
        <x:v>Independent Austin Instructor</x:v>
      </x:c>
      <x:c r="C30" s="23" t="str">
        <x:v>Austin</x:v>
      </x:c>
      <x:c r="D30" s="23" t="str">
        <x:v>Unknown</x:v>
      </x:c>
      <x:c r="E30" s="23" t="str">
        <x:v>Not discussed</x:v>
      </x:c>
      <x:c r="F30" s="23" t="str">
        <x:v>Not selected</x:v>
      </x:c>
      <x:c r="G30" s="24"/>
      <x:c r="H30" s="24"/>
      <x:c r="I30" s="23" t="str">
        <x:v>No</x:v>
      </x:c>
      <x:c r="J30" s="23" t="str">
        <x:v>No</x:v>
      </x:c>
      <x:c r="K30" s="23" t="str">
        <x:v>No</x:v>
      </x:c>
      <x:c r="L30" s="24"/>
      <x:c r="M30" s="25" t="str"/>
      <x:c r="N30" s="23" t="str">
        <x:v>No</x:v>
      </x:c>
      <x:c r="O30" s="24"/>
      <x:c r="P30" s="23" t="str">
        <x:v>No</x:v>
      </x:c>
      <x:c r="Q30" s="23" t="str">
        <x:v>No</x:v>
      </x:c>
      <x:c r="R30" s="23" t="str">
        <x:v>No</x:v>
      </x:c>
      <x:c r="S30" s="23" t="str">
        <x:v>Not started</x:v>
      </x:c>
      <x:c r="T30" s="25" t="str"/>
      <x:c r="U30" s="23" t="str">
        <x:v>Not started</x:v>
      </x:c>
      <x:c r="V30" s="23" t="str">
        <x:f>IF(S30="Published","Published",IF(Q30="Yes","Signed up",IF(K30="Yes","Content posted",IF(I30="Yes","Content received",IF(D30="Yes","Agreed",IF(D30="No","Declined","Not started"))))))</x:f>
        <x:v>Not started</x:v>
      </x:c>
      <x:c r="W30" s="23" t="str"/>
    </x:row>
    <x:row r="31" ht="33" customHeight="1">
      <x:c r="A31" s="23" t="str">
        <x:v>AUS-06</x:v>
      </x:c>
      <x:c r="B31" s="23" t="str">
        <x:v>Independent Austin Instructor</x:v>
      </x:c>
      <x:c r="C31" s="23" t="str">
        <x:v>Austin</x:v>
      </x:c>
      <x:c r="D31" s="23" t="str">
        <x:v>Unknown</x:v>
      </x:c>
      <x:c r="E31" s="23" t="str">
        <x:v>Not discussed</x:v>
      </x:c>
      <x:c r="F31" s="23" t="str">
        <x:v>Not selected</x:v>
      </x:c>
      <x:c r="G31" s="24"/>
      <x:c r="H31" s="24"/>
      <x:c r="I31" s="23" t="str">
        <x:v>No</x:v>
      </x:c>
      <x:c r="J31" s="23" t="str">
        <x:v>No</x:v>
      </x:c>
      <x:c r="K31" s="23" t="str">
        <x:v>No</x:v>
      </x:c>
      <x:c r="L31" s="24"/>
      <x:c r="M31" s="25" t="str"/>
      <x:c r="N31" s="23" t="str">
        <x:v>No</x:v>
      </x:c>
      <x:c r="O31" s="24"/>
      <x:c r="P31" s="23" t="str">
        <x:v>No</x:v>
      </x:c>
      <x:c r="Q31" s="23" t="str">
        <x:v>No</x:v>
      </x:c>
      <x:c r="R31" s="23" t="str">
        <x:v>No</x:v>
      </x:c>
      <x:c r="S31" s="23" t="str">
        <x:v>Not started</x:v>
      </x:c>
      <x:c r="T31" s="25" t="str"/>
      <x:c r="U31" s="23" t="str">
        <x:v>Not started</x:v>
      </x:c>
      <x:c r="V31" s="23" t="str">
        <x:f>IF(S31="Published","Published",IF(Q31="Yes","Signed up",IF(K31="Yes","Content posted",IF(I31="Yes","Content received",IF(D31="Yes","Agreed",IF(D31="No","Declined","Not started"))))))</x:f>
        <x:v>Not started</x:v>
      </x:c>
      <x:c r="W31" s="23" t="str"/>
    </x:row>
    <x:row r="32" ht="33" customHeight="1">
      <x:c r="A32" s="23" t="str">
        <x:v>AUS-07</x:v>
      </x:c>
      <x:c r="B32" s="23" t="str">
        <x:v>Independent Austin Instructor</x:v>
      </x:c>
      <x:c r="C32" s="23" t="str">
        <x:v>Austin</x:v>
      </x:c>
      <x:c r="D32" s="23" t="str">
        <x:v>Unknown</x:v>
      </x:c>
      <x:c r="E32" s="23" t="str">
        <x:v>Not discussed</x:v>
      </x:c>
      <x:c r="F32" s="23" t="str">
        <x:v>Not selected</x:v>
      </x:c>
      <x:c r="G32" s="24"/>
      <x:c r="H32" s="24"/>
      <x:c r="I32" s="23" t="str">
        <x:v>No</x:v>
      </x:c>
      <x:c r="J32" s="23" t="str">
        <x:v>No</x:v>
      </x:c>
      <x:c r="K32" s="23" t="str">
        <x:v>No</x:v>
      </x:c>
      <x:c r="L32" s="24"/>
      <x:c r="M32" s="25" t="str"/>
      <x:c r="N32" s="23" t="str">
        <x:v>No</x:v>
      </x:c>
      <x:c r="O32" s="24"/>
      <x:c r="P32" s="23" t="str">
        <x:v>No</x:v>
      </x:c>
      <x:c r="Q32" s="23" t="str">
        <x:v>No</x:v>
      </x:c>
      <x:c r="R32" s="23" t="str">
        <x:v>No</x:v>
      </x:c>
      <x:c r="S32" s="23" t="str">
        <x:v>Not started</x:v>
      </x:c>
      <x:c r="T32" s="25" t="str"/>
      <x:c r="U32" s="23" t="str">
        <x:v>Not started</x:v>
      </x:c>
      <x:c r="V32" s="23" t="str">
        <x:f>IF(S32="Published","Published",IF(Q32="Yes","Signed up",IF(K32="Yes","Content posted",IF(I32="Yes","Content received",IF(D32="Yes","Agreed",IF(D32="No","Declined","Not started"))))))</x:f>
        <x:v>Not started</x:v>
      </x:c>
      <x:c r="W32" s="23" t="str"/>
    </x:row>
    <x:row r="33" ht="33" customHeight="1">
      <x:c r="A33" s="23" t="str">
        <x:v>AUS-08</x:v>
      </x:c>
      <x:c r="B33" s="23" t="str">
        <x:v>Independent Austin Instructor</x:v>
      </x:c>
      <x:c r="C33" s="23" t="str">
        <x:v>Austin</x:v>
      </x:c>
      <x:c r="D33" s="23" t="str">
        <x:v>Unknown</x:v>
      </x:c>
      <x:c r="E33" s="23" t="str">
        <x:v>Not discussed</x:v>
      </x:c>
      <x:c r="F33" s="23" t="str">
        <x:v>Not selected</x:v>
      </x:c>
      <x:c r="G33" s="24"/>
      <x:c r="H33" s="24"/>
      <x:c r="I33" s="23" t="str">
        <x:v>No</x:v>
      </x:c>
      <x:c r="J33" s="23" t="str">
        <x:v>No</x:v>
      </x:c>
      <x:c r="K33" s="23" t="str">
        <x:v>No</x:v>
      </x:c>
      <x:c r="L33" s="24"/>
      <x:c r="M33" s="25" t="str"/>
      <x:c r="N33" s="23" t="str">
        <x:v>No</x:v>
      </x:c>
      <x:c r="O33" s="24"/>
      <x:c r="P33" s="23" t="str">
        <x:v>No</x:v>
      </x:c>
      <x:c r="Q33" s="23" t="str">
        <x:v>No</x:v>
      </x:c>
      <x:c r="R33" s="23" t="str">
        <x:v>No</x:v>
      </x:c>
      <x:c r="S33" s="23" t="str">
        <x:v>Not started</x:v>
      </x:c>
      <x:c r="T33" s="25" t="str"/>
      <x:c r="U33" s="23" t="str">
        <x:v>Not started</x:v>
      </x:c>
      <x:c r="V33" s="23" t="str">
        <x:f>IF(S33="Published","Published",IF(Q33="Yes","Signed up",IF(K33="Yes","Content posted",IF(I33="Yes","Content received",IF(D33="Yes","Agreed",IF(D33="No","Declined","Not started"))))))</x:f>
        <x:v>Not started</x:v>
      </x:c>
      <x:c r="W33" s="23" t="str"/>
    </x:row>
    <x:row r="34" ht="33" customHeight="1">
      <x:c r="A34" s="23" t="str">
        <x:v>AUS-09</x:v>
      </x:c>
      <x:c r="B34" s="23" t="str">
        <x:v>Independent Austin Instructor</x:v>
      </x:c>
      <x:c r="C34" s="23" t="str">
        <x:v>Austin</x:v>
      </x:c>
      <x:c r="D34" s="23" t="str">
        <x:v>Unknown</x:v>
      </x:c>
      <x:c r="E34" s="23" t="str">
        <x:v>Not discussed</x:v>
      </x:c>
      <x:c r="F34" s="23" t="str">
        <x:v>Not selected</x:v>
      </x:c>
      <x:c r="G34" s="24"/>
      <x:c r="H34" s="24"/>
      <x:c r="I34" s="23" t="str">
        <x:v>No</x:v>
      </x:c>
      <x:c r="J34" s="23" t="str">
        <x:v>No</x:v>
      </x:c>
      <x:c r="K34" s="23" t="str">
        <x:v>No</x:v>
      </x:c>
      <x:c r="L34" s="24"/>
      <x:c r="M34" s="25" t="str"/>
      <x:c r="N34" s="23" t="str">
        <x:v>No</x:v>
      </x:c>
      <x:c r="O34" s="24"/>
      <x:c r="P34" s="23" t="str">
        <x:v>No</x:v>
      </x:c>
      <x:c r="Q34" s="23" t="str">
        <x:v>No</x:v>
      </x:c>
      <x:c r="R34" s="23" t="str">
        <x:v>No</x:v>
      </x:c>
      <x:c r="S34" s="23" t="str">
        <x:v>Not started</x:v>
      </x:c>
      <x:c r="T34" s="25" t="str"/>
      <x:c r="U34" s="23" t="str">
        <x:v>Not started</x:v>
      </x:c>
      <x:c r="V34" s="23" t="str">
        <x:f>IF(S34="Published","Published",IF(Q34="Yes","Signed up",IF(K34="Yes","Content posted",IF(I34="Yes","Content received",IF(D34="Yes","Agreed",IF(D34="No","Declined","Not started"))))))</x:f>
        <x:v>Not started</x:v>
      </x:c>
      <x:c r="W34" s="23" t="str"/>
    </x:row>
    <x:row r="35" ht="33" customHeight="1">
      <x:c r="A35" s="23" t="str">
        <x:v>AUS-10</x:v>
      </x:c>
      <x:c r="B35" s="23" t="str">
        <x:v>Independent Austin Instructor</x:v>
      </x:c>
      <x:c r="C35" s="23" t="str">
        <x:v>Austin</x:v>
      </x:c>
      <x:c r="D35" s="23" t="str">
        <x:v>Unknown</x:v>
      </x:c>
      <x:c r="E35" s="23" t="str">
        <x:v>Not discussed</x:v>
      </x:c>
      <x:c r="F35" s="23" t="str">
        <x:v>Not selected</x:v>
      </x:c>
      <x:c r="G35" s="24"/>
      <x:c r="H35" s="24"/>
      <x:c r="I35" s="23" t="str">
        <x:v>No</x:v>
      </x:c>
      <x:c r="J35" s="23" t="str">
        <x:v>No</x:v>
      </x:c>
      <x:c r="K35" s="23" t="str">
        <x:v>No</x:v>
      </x:c>
      <x:c r="L35" s="24"/>
      <x:c r="M35" s="25" t="str"/>
      <x:c r="N35" s="23" t="str">
        <x:v>No</x:v>
      </x:c>
      <x:c r="O35" s="24"/>
      <x:c r="P35" s="23" t="str">
        <x:v>No</x:v>
      </x:c>
      <x:c r="Q35" s="23" t="str">
        <x:v>No</x:v>
      </x:c>
      <x:c r="R35" s="23" t="str">
        <x:v>No</x:v>
      </x:c>
      <x:c r="S35" s="23" t="str">
        <x:v>Not started</x:v>
      </x:c>
      <x:c r="T35" s="25" t="str"/>
      <x:c r="U35" s="23" t="str">
        <x:v>Not started</x:v>
      </x:c>
      <x:c r="V35" s="23" t="str">
        <x:f>IF(S35="Published","Published",IF(Q35="Yes","Signed up",IF(K35="Yes","Content posted",IF(I35="Yes","Content received",IF(D35="Yes","Agreed",IF(D35="No","Declined","Not started"))))))</x:f>
        <x:v>Not started</x:v>
      </x:c>
      <x:c r="W35" s="23" t="str"/>
    </x:row>
    <x:row r="36" ht="33" customHeight="1">
      <x:c r="A36" s="23" t="str">
        <x:v>DAL-01</x:v>
      </x:c>
      <x:c r="B36" s="23" t="str">
        <x:v>410 Line Dancers</x:v>
      </x:c>
      <x:c r="C36" s="23" t="str">
        <x:v>Dallas</x:v>
      </x:c>
      <x:c r="D36" s="23" t="str">
        <x:v>Unknown</x:v>
      </x:c>
      <x:c r="E36" s="23" t="str">
        <x:v>Not discussed</x:v>
      </x:c>
      <x:c r="F36" s="23" t="str">
        <x:v>Not selected</x:v>
      </x:c>
      <x:c r="G36" s="24"/>
      <x:c r="H36" s="24"/>
      <x:c r="I36" s="23" t="str">
        <x:v>No</x:v>
      </x:c>
      <x:c r="J36" s="23" t="str">
        <x:v>No</x:v>
      </x:c>
      <x:c r="K36" s="23" t="str">
        <x:v>No</x:v>
      </x:c>
      <x:c r="L36" s="24"/>
      <x:c r="M36" s="25" t="str"/>
      <x:c r="N36" s="23" t="str">
        <x:v>No</x:v>
      </x:c>
      <x:c r="O36" s="24"/>
      <x:c r="P36" s="23" t="str">
        <x:v>No</x:v>
      </x:c>
      <x:c r="Q36" s="23" t="str">
        <x:v>No</x:v>
      </x:c>
      <x:c r="R36" s="23" t="str">
        <x:v>No</x:v>
      </x:c>
      <x:c r="S36" s="23" t="str">
        <x:v>Not started</x:v>
      </x:c>
      <x:c r="T36" s="25" t="str"/>
      <x:c r="U36" s="23" t="str">
        <x:v>Not started</x:v>
      </x:c>
      <x:c r="V36" s="23" t="str">
        <x:f>IF(S36="Published","Published",IF(Q36="Yes","Signed up",IF(K36="Yes","Content posted",IF(I36="Yes","Content received",IF(D36="Yes","Agreed",IF(D36="No","Declined","Not started"))))))</x:f>
        <x:v>Not started</x:v>
      </x:c>
      <x:c r="W36" s="23" t="str"/>
    </x:row>
    <x:row r="37" ht="33" customHeight="1">
      <x:c r="A37" s="23" t="str">
        <x:v>DAL-02</x:v>
      </x:c>
      <x:c r="B37" s="23" t="str">
        <x:v>410 Line Dancers</x:v>
      </x:c>
      <x:c r="C37" s="23" t="str">
        <x:v>Dallas</x:v>
      </x:c>
      <x:c r="D37" s="23" t="str">
        <x:v>Unknown</x:v>
      </x:c>
      <x:c r="E37" s="23" t="str">
        <x:v>Not discussed</x:v>
      </x:c>
      <x:c r="F37" s="23" t="str">
        <x:v>Not selected</x:v>
      </x:c>
      <x:c r="G37" s="24"/>
      <x:c r="H37" s="24"/>
      <x:c r="I37" s="23" t="str">
        <x:v>No</x:v>
      </x:c>
      <x:c r="J37" s="23" t="str">
        <x:v>No</x:v>
      </x:c>
      <x:c r="K37" s="23" t="str">
        <x:v>No</x:v>
      </x:c>
      <x:c r="L37" s="24"/>
      <x:c r="M37" s="25" t="str"/>
      <x:c r="N37" s="23" t="str">
        <x:v>No</x:v>
      </x:c>
      <x:c r="O37" s="24"/>
      <x:c r="P37" s="23" t="str">
        <x:v>No</x:v>
      </x:c>
      <x:c r="Q37" s="23" t="str">
        <x:v>No</x:v>
      </x:c>
      <x:c r="R37" s="23" t="str">
        <x:v>No</x:v>
      </x:c>
      <x:c r="S37" s="23" t="str">
        <x:v>Not started</x:v>
      </x:c>
      <x:c r="T37" s="25" t="str"/>
      <x:c r="U37" s="23" t="str">
        <x:v>Not started</x:v>
      </x:c>
      <x:c r="V37" s="23" t="str">
        <x:f>IF(S37="Published","Published",IF(Q37="Yes","Signed up",IF(K37="Yes","Content posted",IF(I37="Yes","Content received",IF(D37="Yes","Agreed",IF(D37="No","Declined","Not started"))))))</x:f>
        <x:v>Not started</x:v>
      </x:c>
      <x:c r="W37" s="23" t="str"/>
    </x:row>
    <x:row r="38" ht="33" customHeight="1">
      <x:c r="A38" s="23" t="str">
        <x:v>DAL-03</x:v>
      </x:c>
      <x:c r="B38" s="23" t="str">
        <x:v>Independent Dallas Instructor</x:v>
      </x:c>
      <x:c r="C38" s="23" t="str">
        <x:v>Dallas</x:v>
      </x:c>
      <x:c r="D38" s="23" t="str">
        <x:v>Unknown</x:v>
      </x:c>
      <x:c r="E38" s="23" t="str">
        <x:v>Not discussed</x:v>
      </x:c>
      <x:c r="F38" s="23" t="str">
        <x:v>Not selected</x:v>
      </x:c>
      <x:c r="G38" s="24"/>
      <x:c r="H38" s="24"/>
      <x:c r="I38" s="23" t="str">
        <x:v>No</x:v>
      </x:c>
      <x:c r="J38" s="23" t="str">
        <x:v>No</x:v>
      </x:c>
      <x:c r="K38" s="23" t="str">
        <x:v>No</x:v>
      </x:c>
      <x:c r="L38" s="24"/>
      <x:c r="M38" s="25" t="str"/>
      <x:c r="N38" s="23" t="str">
        <x:v>No</x:v>
      </x:c>
      <x:c r="O38" s="24"/>
      <x:c r="P38" s="23" t="str">
        <x:v>No</x:v>
      </x:c>
      <x:c r="Q38" s="23" t="str">
        <x:v>No</x:v>
      </x:c>
      <x:c r="R38" s="23" t="str">
        <x:v>No</x:v>
      </x:c>
      <x:c r="S38" s="23" t="str">
        <x:v>Not started</x:v>
      </x:c>
      <x:c r="T38" s="25" t="str"/>
      <x:c r="U38" s="23" t="str">
        <x:v>Not started</x:v>
      </x:c>
      <x:c r="V38" s="23" t="str">
        <x:f>IF(S38="Published","Published",IF(Q38="Yes","Signed up",IF(K38="Yes","Content posted",IF(I38="Yes","Content received",IF(D38="Yes","Agreed",IF(D38="No","Declined","Not started"))))))</x:f>
        <x:v>Not started</x:v>
      </x:c>
      <x:c r="W38" s="23" t="str"/>
    </x:row>
    <x:row r="39" ht="33" customHeight="1">
      <x:c r="A39" s="23" t="str">
        <x:v>DAL-04</x:v>
      </x:c>
      <x:c r="B39" s="23" t="str">
        <x:v>Independent Dallas Instructor</x:v>
      </x:c>
      <x:c r="C39" s="23" t="str">
        <x:v>Dallas</x:v>
      </x:c>
      <x:c r="D39" s="23" t="str">
        <x:v>Unknown</x:v>
      </x:c>
      <x:c r="E39" s="23" t="str">
        <x:v>Not discussed</x:v>
      </x:c>
      <x:c r="F39" s="23" t="str">
        <x:v>Not selected</x:v>
      </x:c>
      <x:c r="G39" s="24"/>
      <x:c r="H39" s="24"/>
      <x:c r="I39" s="23" t="str">
        <x:v>No</x:v>
      </x:c>
      <x:c r="J39" s="23" t="str">
        <x:v>No</x:v>
      </x:c>
      <x:c r="K39" s="23" t="str">
        <x:v>No</x:v>
      </x:c>
      <x:c r="L39" s="24"/>
      <x:c r="M39" s="25" t="str"/>
      <x:c r="N39" s="23" t="str">
        <x:v>No</x:v>
      </x:c>
      <x:c r="O39" s="24"/>
      <x:c r="P39" s="23" t="str">
        <x:v>No</x:v>
      </x:c>
      <x:c r="Q39" s="23" t="str">
        <x:v>No</x:v>
      </x:c>
      <x:c r="R39" s="23" t="str">
        <x:v>No</x:v>
      </x:c>
      <x:c r="S39" s="23" t="str">
        <x:v>Not started</x:v>
      </x:c>
      <x:c r="T39" s="25" t="str"/>
      <x:c r="U39" s="23" t="str">
        <x:v>Not started</x:v>
      </x:c>
      <x:c r="V39" s="23" t="str">
        <x:f>IF(S39="Published","Published",IF(Q39="Yes","Signed up",IF(K39="Yes","Content posted",IF(I39="Yes","Content received",IF(D39="Yes","Agreed",IF(D39="No","Declined","Not started"))))))</x:f>
        <x:v>Not started</x:v>
      </x:c>
      <x:c r="W39" s="23" t="str"/>
    </x:row>
    <x:row r="40" ht="33" customHeight="1">
      <x:c r="A40" s="23" t="str">
        <x:v>DAL-05</x:v>
      </x:c>
      <x:c r="B40" s="23" t="str">
        <x:v>Independent Dallas Instructor</x:v>
      </x:c>
      <x:c r="C40" s="23" t="str">
        <x:v>Dallas</x:v>
      </x:c>
      <x:c r="D40" s="23" t="str">
        <x:v>Unknown</x:v>
      </x:c>
      <x:c r="E40" s="23" t="str">
        <x:v>Not discussed</x:v>
      </x:c>
      <x:c r="F40" s="23" t="str">
        <x:v>Not selected</x:v>
      </x:c>
      <x:c r="G40" s="24"/>
      <x:c r="H40" s="24"/>
      <x:c r="I40" s="23" t="str">
        <x:v>No</x:v>
      </x:c>
      <x:c r="J40" s="23" t="str">
        <x:v>No</x:v>
      </x:c>
      <x:c r="K40" s="23" t="str">
        <x:v>No</x:v>
      </x:c>
      <x:c r="L40" s="24"/>
      <x:c r="M40" s="25" t="str"/>
      <x:c r="N40" s="23" t="str">
        <x:v>No</x:v>
      </x:c>
      <x:c r="O40" s="24"/>
      <x:c r="P40" s="23" t="str">
        <x:v>No</x:v>
      </x:c>
      <x:c r="Q40" s="23" t="str">
        <x:v>No</x:v>
      </x:c>
      <x:c r="R40" s="23" t="str">
        <x:v>No</x:v>
      </x:c>
      <x:c r="S40" s="23" t="str">
        <x:v>Not started</x:v>
      </x:c>
      <x:c r="T40" s="25" t="str"/>
      <x:c r="U40" s="23" t="str">
        <x:v>Not started</x:v>
      </x:c>
      <x:c r="V40" s="23" t="str">
        <x:f>IF(S40="Published","Published",IF(Q40="Yes","Signed up",IF(K40="Yes","Content posted",IF(I40="Yes","Content received",IF(D40="Yes","Agreed",IF(D40="No","Declined","Not started"))))))</x:f>
        <x:v>Not started</x:v>
      </x:c>
      <x:c r="W40" s="23" t="str"/>
    </x:row>
    <x:row r="41" ht="33" customHeight="1">
      <x:c r="A41" s="23" t="str">
        <x:v>DAL-06</x:v>
      </x:c>
      <x:c r="B41" s="23" t="str">
        <x:v>Independent Dallas Instructor</x:v>
      </x:c>
      <x:c r="C41" s="23" t="str">
        <x:v>Dallas</x:v>
      </x:c>
      <x:c r="D41" s="23" t="str">
        <x:v>Unknown</x:v>
      </x:c>
      <x:c r="E41" s="23" t="str">
        <x:v>Not discussed</x:v>
      </x:c>
      <x:c r="F41" s="23" t="str">
        <x:v>Not selected</x:v>
      </x:c>
      <x:c r="G41" s="24"/>
      <x:c r="H41" s="24"/>
      <x:c r="I41" s="23" t="str">
        <x:v>No</x:v>
      </x:c>
      <x:c r="J41" s="23" t="str">
        <x:v>No</x:v>
      </x:c>
      <x:c r="K41" s="23" t="str">
        <x:v>No</x:v>
      </x:c>
      <x:c r="L41" s="24"/>
      <x:c r="M41" s="25" t="str"/>
      <x:c r="N41" s="23" t="str">
        <x:v>No</x:v>
      </x:c>
      <x:c r="O41" s="24"/>
      <x:c r="P41" s="23" t="str">
        <x:v>No</x:v>
      </x:c>
      <x:c r="Q41" s="23" t="str">
        <x:v>No</x:v>
      </x:c>
      <x:c r="R41" s="23" t="str">
        <x:v>No</x:v>
      </x:c>
      <x:c r="S41" s="23" t="str">
        <x:v>Not started</x:v>
      </x:c>
      <x:c r="T41" s="25" t="str"/>
      <x:c r="U41" s="23" t="str">
        <x:v>Not started</x:v>
      </x:c>
      <x:c r="V41" s="23" t="str">
        <x:f>IF(S41="Published","Published",IF(Q41="Yes","Signed up",IF(K41="Yes","Content posted",IF(I41="Yes","Content received",IF(D41="Yes","Agreed",IF(D41="No","Declined","Not started"))))))</x:f>
        <x:v>Not started</x:v>
      </x:c>
      <x:c r="W41" s="23" t="str"/>
    </x:row>
    <x:row r="42" ht="33" customHeight="1">
      <x:c r="A42" s="23" t="str">
        <x:v>DAL-07</x:v>
      </x:c>
      <x:c r="B42" s="23" t="str">
        <x:v>Juliet Dance N Teach</x:v>
      </x:c>
      <x:c r="C42" s="23" t="str">
        <x:v>Dallas</x:v>
      </x:c>
      <x:c r="D42" s="23" t="str">
        <x:v>Unknown</x:v>
      </x:c>
      <x:c r="E42" s="23" t="str">
        <x:v>Not discussed</x:v>
      </x:c>
      <x:c r="F42" s="23" t="str">
        <x:v>Not selected</x:v>
      </x:c>
      <x:c r="G42" s="24"/>
      <x:c r="H42" s="24"/>
      <x:c r="I42" s="23" t="str">
        <x:v>No</x:v>
      </x:c>
      <x:c r="J42" s="23" t="str">
        <x:v>No</x:v>
      </x:c>
      <x:c r="K42" s="23" t="str">
        <x:v>No</x:v>
      </x:c>
      <x:c r="L42" s="24"/>
      <x:c r="M42" s="25" t="str"/>
      <x:c r="N42" s="23" t="str">
        <x:v>No</x:v>
      </x:c>
      <x:c r="O42" s="24"/>
      <x:c r="P42" s="23" t="str">
        <x:v>No</x:v>
      </x:c>
      <x:c r="Q42" s="23" t="str">
        <x:v>No</x:v>
      </x:c>
      <x:c r="R42" s="23" t="str">
        <x:v>No</x:v>
      </x:c>
      <x:c r="S42" s="23" t="str">
        <x:v>Not started</x:v>
      </x:c>
      <x:c r="T42" s="25" t="str"/>
      <x:c r="U42" s="23" t="str">
        <x:v>Not started</x:v>
      </x:c>
      <x:c r="V42" s="23" t="str">
        <x:f>IF(S42="Published","Published",IF(Q42="Yes","Signed up",IF(K42="Yes","Content posted",IF(I42="Yes","Content received",IF(D42="Yes","Agreed",IF(D42="No","Declined","Not started"))))))</x:f>
        <x:v>Not started</x:v>
      </x:c>
      <x:c r="W42" s="23" t="str"/>
    </x:row>
    <x:row r="43" ht="33" customHeight="1">
      <x:c r="A43" s="23" t="str">
        <x:v>DAL-08</x:v>
      </x:c>
      <x:c r="B43" s="23" t="str">
        <x:v>Independent Dallas Instructor</x:v>
      </x:c>
      <x:c r="C43" s="23" t="str">
        <x:v>Dallas</x:v>
      </x:c>
      <x:c r="D43" s="23" t="str">
        <x:v>Unknown</x:v>
      </x:c>
      <x:c r="E43" s="23" t="str">
        <x:v>Not discussed</x:v>
      </x:c>
      <x:c r="F43" s="23" t="str">
        <x:v>Not selected</x:v>
      </x:c>
      <x:c r="G43" s="24"/>
      <x:c r="H43" s="24"/>
      <x:c r="I43" s="23" t="str">
        <x:v>No</x:v>
      </x:c>
      <x:c r="J43" s="23" t="str">
        <x:v>No</x:v>
      </x:c>
      <x:c r="K43" s="23" t="str">
        <x:v>No</x:v>
      </x:c>
      <x:c r="L43" s="24"/>
      <x:c r="M43" s="25" t="str"/>
      <x:c r="N43" s="23" t="str">
        <x:v>No</x:v>
      </x:c>
      <x:c r="O43" s="24"/>
      <x:c r="P43" s="23" t="str">
        <x:v>No</x:v>
      </x:c>
      <x:c r="Q43" s="23" t="str">
        <x:v>No</x:v>
      </x:c>
      <x:c r="R43" s="23" t="str">
        <x:v>No</x:v>
      </x:c>
      <x:c r="S43" s="23" t="str">
        <x:v>Not started</x:v>
      </x:c>
      <x:c r="T43" s="25" t="str"/>
      <x:c r="U43" s="23" t="str">
        <x:v>Not started</x:v>
      </x:c>
      <x:c r="V43" s="23" t="str">
        <x:f>IF(S43="Published","Published",IF(Q43="Yes","Signed up",IF(K43="Yes","Content posted",IF(I43="Yes","Content received",IF(D43="Yes","Agreed",IF(D43="No","Declined","Not started"))))))</x:f>
        <x:v>Not started</x:v>
      </x:c>
      <x:c r="W43" s="23" t="str"/>
    </x:row>
    <x:row r="44" ht="33" customHeight="1">
      <x:c r="A44" s="23" t="str">
        <x:v>DAL-09</x:v>
      </x:c>
      <x:c r="B44" s="23" t="str">
        <x:v>Rockin' Red Rodeo</x:v>
      </x:c>
      <x:c r="C44" s="23" t="str">
        <x:v>Dallas</x:v>
      </x:c>
      <x:c r="D44" s="23" t="str">
        <x:v>Unknown</x:v>
      </x:c>
      <x:c r="E44" s="23" t="str">
        <x:v>Not discussed</x:v>
      </x:c>
      <x:c r="F44" s="23" t="str">
        <x:v>Not selected</x:v>
      </x:c>
      <x:c r="G44" s="24"/>
      <x:c r="H44" s="24"/>
      <x:c r="I44" s="23" t="str">
        <x:v>No</x:v>
      </x:c>
      <x:c r="J44" s="23" t="str">
        <x:v>No</x:v>
      </x:c>
      <x:c r="K44" s="23" t="str">
        <x:v>No</x:v>
      </x:c>
      <x:c r="L44" s="24"/>
      <x:c r="M44" s="25" t="str"/>
      <x:c r="N44" s="23" t="str">
        <x:v>No</x:v>
      </x:c>
      <x:c r="O44" s="24"/>
      <x:c r="P44" s="23" t="str">
        <x:v>No</x:v>
      </x:c>
      <x:c r="Q44" s="23" t="str">
        <x:v>No</x:v>
      </x:c>
      <x:c r="R44" s="23" t="str">
        <x:v>No</x:v>
      </x:c>
      <x:c r="S44" s="23" t="str">
        <x:v>Not started</x:v>
      </x:c>
      <x:c r="T44" s="25" t="str"/>
      <x:c r="U44" s="23" t="str">
        <x:v>Not started</x:v>
      </x:c>
      <x:c r="V44" s="23" t="str">
        <x:f>IF(S44="Published","Published",IF(Q44="Yes","Signed up",IF(K44="Yes","Content posted",IF(I44="Yes","Content received",IF(D44="Yes","Agreed",IF(D44="No","Declined","Not started"))))))</x:f>
        <x:v>Not started</x:v>
      </x:c>
      <x:c r="W44" s="23" t="str"/>
    </x:row>
    <x:row r="45" ht="33" customHeight="1">
      <x:c r="A45" s="23" t="str">
        <x:v>DAL-10</x:v>
      </x:c>
      <x:c r="B45" s="23" t="str">
        <x:v>Independent Dallas Instructor</x:v>
      </x:c>
      <x:c r="C45" s="23" t="str">
        <x:v>Dallas</x:v>
      </x:c>
      <x:c r="D45" s="23" t="str">
        <x:v>Unknown</x:v>
      </x:c>
      <x:c r="E45" s="23" t="str">
        <x:v>Not discussed</x:v>
      </x:c>
      <x:c r="F45" s="23" t="str">
        <x:v>Not selected</x:v>
      </x:c>
      <x:c r="G45" s="24"/>
      <x:c r="H45" s="24"/>
      <x:c r="I45" s="23" t="str">
        <x:v>No</x:v>
      </x:c>
      <x:c r="J45" s="23" t="str">
        <x:v>No</x:v>
      </x:c>
      <x:c r="K45" s="23" t="str">
        <x:v>No</x:v>
      </x:c>
      <x:c r="L45" s="24"/>
      <x:c r="M45" s="25" t="str"/>
      <x:c r="N45" s="23" t="str">
        <x:v>No</x:v>
      </x:c>
      <x:c r="O45" s="24"/>
      <x:c r="P45" s="23" t="str">
        <x:v>No</x:v>
      </x:c>
      <x:c r="Q45" s="23" t="str">
        <x:v>No</x:v>
      </x:c>
      <x:c r="R45" s="23" t="str">
        <x:v>No</x:v>
      </x:c>
      <x:c r="S45" s="23" t="str">
        <x:v>Not started</x:v>
      </x:c>
      <x:c r="T45" s="25" t="str"/>
      <x:c r="U45" s="23" t="str">
        <x:v>Not started</x:v>
      </x:c>
      <x:c r="V45" s="23" t="str">
        <x:f>IF(S45="Published","Published",IF(Q45="Yes","Signed up",IF(K45="Yes","Content posted",IF(I45="Yes","Content received",IF(D45="Yes","Agreed",IF(D45="No","Declined","Not started"))))))</x:f>
        <x:v>Not started</x:v>
      </x:c>
      <x:c r="W45" s="23" t="str"/>
    </x:row>
    <x:row r="46" ht="33" customHeight="1">
      <x:c r="A46" s="23" t="str">
        <x:v>HOU-01</x:v>
      </x:c>
      <x:c r="B46" s="23" t="str">
        <x:v>Houston Line Dancing community</x:v>
      </x:c>
      <x:c r="C46" s="23" t="str">
        <x:v>Houston</x:v>
      </x:c>
      <x:c r="D46" s="23" t="str">
        <x:v>Unknown</x:v>
      </x:c>
      <x:c r="E46" s="23" t="str">
        <x:v>Not discussed</x:v>
      </x:c>
      <x:c r="F46" s="23" t="str">
        <x:v>Not selected</x:v>
      </x:c>
      <x:c r="G46" s="24"/>
      <x:c r="H46" s="24"/>
      <x:c r="I46" s="23" t="str">
        <x:v>No</x:v>
      </x:c>
      <x:c r="J46" s="23" t="str">
        <x:v>No</x:v>
      </x:c>
      <x:c r="K46" s="23" t="str">
        <x:v>No</x:v>
      </x:c>
      <x:c r="L46" s="24"/>
      <x:c r="M46" s="25" t="str"/>
      <x:c r="N46" s="23" t="str">
        <x:v>No</x:v>
      </x:c>
      <x:c r="O46" s="24"/>
      <x:c r="P46" s="23" t="str">
        <x:v>No</x:v>
      </x:c>
      <x:c r="Q46" s="23" t="str">
        <x:v>No</x:v>
      </x:c>
      <x:c r="R46" s="23" t="str">
        <x:v>No</x:v>
      </x:c>
      <x:c r="S46" s="23" t="str">
        <x:v>Not started</x:v>
      </x:c>
      <x:c r="T46" s="25" t="str"/>
      <x:c r="U46" s="23" t="str">
        <x:v>Not started</x:v>
      </x:c>
      <x:c r="V46" s="23" t="str">
        <x:f>IF(S46="Published","Published",IF(Q46="Yes","Signed up",IF(K46="Yes","Content posted",IF(I46="Yes","Content received",IF(D46="Yes","Agreed",IF(D46="No","Declined","Not started"))))))</x:f>
        <x:v>Not started</x:v>
      </x:c>
      <x:c r="W46" s="23" t="str"/>
    </x:row>
    <x:row r="47" ht="33" customHeight="1">
      <x:c r="A47" s="23" t="str">
        <x:v>HOU-02</x:v>
      </x:c>
      <x:c r="B47" s="23" t="str">
        <x:v>Jakayla Preston Line Dance</x:v>
      </x:c>
      <x:c r="C47" s="23" t="str">
        <x:v>Houston</x:v>
      </x:c>
      <x:c r="D47" s="23" t="str">
        <x:v>Unknown</x:v>
      </x:c>
      <x:c r="E47" s="23" t="str">
        <x:v>Not discussed</x:v>
      </x:c>
      <x:c r="F47" s="23" t="str">
        <x:v>Not selected</x:v>
      </x:c>
      <x:c r="G47" s="24"/>
      <x:c r="H47" s="24"/>
      <x:c r="I47" s="23" t="str">
        <x:v>No</x:v>
      </x:c>
      <x:c r="J47" s="23" t="str">
        <x:v>No</x:v>
      </x:c>
      <x:c r="K47" s="23" t="str">
        <x:v>No</x:v>
      </x:c>
      <x:c r="L47" s="24"/>
      <x:c r="M47" s="25" t="str"/>
      <x:c r="N47" s="23" t="str">
        <x:v>No</x:v>
      </x:c>
      <x:c r="O47" s="24"/>
      <x:c r="P47" s="23" t="str">
        <x:v>No</x:v>
      </x:c>
      <x:c r="Q47" s="23" t="str">
        <x:v>No</x:v>
      </x:c>
      <x:c r="R47" s="23" t="str">
        <x:v>No</x:v>
      </x:c>
      <x:c r="S47" s="23" t="str">
        <x:v>Not started</x:v>
      </x:c>
      <x:c r="T47" s="25" t="str"/>
      <x:c r="U47" s="23" t="str">
        <x:v>Not started</x:v>
      </x:c>
      <x:c r="V47" s="23" t="str">
        <x:f>IF(S47="Published","Published",IF(Q47="Yes","Signed up",IF(K47="Yes","Content posted",IF(I47="Yes","Content received",IF(D47="Yes","Agreed",IF(D47="No","Declined","Not started"))))))</x:f>
        <x:v>Not started</x:v>
      </x:c>
      <x:c r="W47" s="23" t="str"/>
    </x:row>
    <x:row r="48" ht="33" customHeight="1">
      <x:c r="A48" s="23" t="str">
        <x:v>HOU-03</x:v>
      </x:c>
      <x:c r="B48" s="23" t="str">
        <x:v>Line Dancing With Gee</x:v>
      </x:c>
      <x:c r="C48" s="23" t="str">
        <x:v>Houston</x:v>
      </x:c>
      <x:c r="D48" s="23" t="str">
        <x:v>Unknown</x:v>
      </x:c>
      <x:c r="E48" s="23" t="str">
        <x:v>Not discussed</x:v>
      </x:c>
      <x:c r="F48" s="23" t="str">
        <x:v>Not selected</x:v>
      </x:c>
      <x:c r="G48" s="24"/>
      <x:c r="H48" s="24"/>
      <x:c r="I48" s="23" t="str">
        <x:v>No</x:v>
      </x:c>
      <x:c r="J48" s="23" t="str">
        <x:v>No</x:v>
      </x:c>
      <x:c r="K48" s="23" t="str">
        <x:v>No</x:v>
      </x:c>
      <x:c r="L48" s="24"/>
      <x:c r="M48" s="25" t="str"/>
      <x:c r="N48" s="23" t="str">
        <x:v>No</x:v>
      </x:c>
      <x:c r="O48" s="24"/>
      <x:c r="P48" s="23" t="str">
        <x:v>No</x:v>
      </x:c>
      <x:c r="Q48" s="23" t="str">
        <x:v>No</x:v>
      </x:c>
      <x:c r="R48" s="23" t="str">
        <x:v>No</x:v>
      </x:c>
      <x:c r="S48" s="23" t="str">
        <x:v>Not started</x:v>
      </x:c>
      <x:c r="T48" s="25" t="str"/>
      <x:c r="U48" s="23" t="str">
        <x:v>Not started</x:v>
      </x:c>
      <x:c r="V48" s="23" t="str">
        <x:f>IF(S48="Published","Published",IF(Q48="Yes","Signed up",IF(K48="Yes","Content posted",IF(I48="Yes","Content received",IF(D48="Yes","Agreed",IF(D48="No","Declined","Not started"))))))</x:f>
        <x:v>Not started</x:v>
      </x:c>
      <x:c r="W48" s="23" t="str"/>
    </x:row>
    <x:row r="49" ht="33" customHeight="1">
      <x:c r="A49" s="23" t="str">
        <x:v>HOU-04</x:v>
      </x:c>
      <x:c r="B49" s="23" t="str">
        <x:v>Cross The Line Dancing Houston</x:v>
      </x:c>
      <x:c r="C49" s="23" t="str">
        <x:v>Houston</x:v>
      </x:c>
      <x:c r="D49" s="23" t="str">
        <x:v>Unknown</x:v>
      </x:c>
      <x:c r="E49" s="23" t="str">
        <x:v>Not discussed</x:v>
      </x:c>
      <x:c r="F49" s="23" t="str">
        <x:v>Not selected</x:v>
      </x:c>
      <x:c r="G49" s="24"/>
      <x:c r="H49" s="24"/>
      <x:c r="I49" s="23" t="str">
        <x:v>No</x:v>
      </x:c>
      <x:c r="J49" s="23" t="str">
        <x:v>No</x:v>
      </x:c>
      <x:c r="K49" s="23" t="str">
        <x:v>No</x:v>
      </x:c>
      <x:c r="L49" s="24"/>
      <x:c r="M49" s="25" t="str"/>
      <x:c r="N49" s="23" t="str">
        <x:v>No</x:v>
      </x:c>
      <x:c r="O49" s="24"/>
      <x:c r="P49" s="23" t="str">
        <x:v>No</x:v>
      </x:c>
      <x:c r="Q49" s="23" t="str">
        <x:v>No</x:v>
      </x:c>
      <x:c r="R49" s="23" t="str">
        <x:v>No</x:v>
      </x:c>
      <x:c r="S49" s="23" t="str">
        <x:v>Not started</x:v>
      </x:c>
      <x:c r="T49" s="25" t="str"/>
      <x:c r="U49" s="23" t="str">
        <x:v>Not started</x:v>
      </x:c>
      <x:c r="V49" s="23" t="str">
        <x:f>IF(S49="Published","Published",IF(Q49="Yes","Signed up",IF(K49="Yes","Content posted",IF(I49="Yes","Content received",IF(D49="Yes","Agreed",IF(D49="No","Declined","Not started"))))))</x:f>
        <x:v>Not started</x:v>
      </x:c>
      <x:c r="W49" s="23" t="str"/>
    </x:row>
    <x:row r="50" ht="33" customHeight="1">
      <x:c r="A50" s="23" t="str">
        <x:v>HOU-05</x:v>
      </x:c>
      <x:c r="B50" s="23" t="str">
        <x:v>Mind Body and Soul Dancers</x:v>
      </x:c>
      <x:c r="C50" s="23" t="str">
        <x:v>Houston</x:v>
      </x:c>
      <x:c r="D50" s="23" t="str">
        <x:v>Unknown</x:v>
      </x:c>
      <x:c r="E50" s="23" t="str">
        <x:v>Not discussed</x:v>
      </x:c>
      <x:c r="F50" s="23" t="str">
        <x:v>Not selected</x:v>
      </x:c>
      <x:c r="G50" s="24"/>
      <x:c r="H50" s="24"/>
      <x:c r="I50" s="23" t="str">
        <x:v>No</x:v>
      </x:c>
      <x:c r="J50" s="23" t="str">
        <x:v>No</x:v>
      </x:c>
      <x:c r="K50" s="23" t="str">
        <x:v>No</x:v>
      </x:c>
      <x:c r="L50" s="24"/>
      <x:c r="M50" s="25" t="str"/>
      <x:c r="N50" s="23" t="str">
        <x:v>No</x:v>
      </x:c>
      <x:c r="O50" s="24"/>
      <x:c r="P50" s="23" t="str">
        <x:v>No</x:v>
      </x:c>
      <x:c r="Q50" s="23" t="str">
        <x:v>No</x:v>
      </x:c>
      <x:c r="R50" s="23" t="str">
        <x:v>No</x:v>
      </x:c>
      <x:c r="S50" s="23" t="str">
        <x:v>Not started</x:v>
      </x:c>
      <x:c r="T50" s="25" t="str"/>
      <x:c r="U50" s="23" t="str">
        <x:v>Not started</x:v>
      </x:c>
      <x:c r="V50" s="23" t="str">
        <x:f>IF(S50="Published","Published",IF(Q50="Yes","Signed up",IF(K50="Yes","Content posted",IF(I50="Yes","Content received",IF(D50="Yes","Agreed",IF(D50="No","Declined","Not started"))))))</x:f>
        <x:v>Not started</x:v>
      </x:c>
      <x:c r="W50" s="23" t="str"/>
    </x:row>
    <x:row r="51" ht="33" customHeight="1">
      <x:c r="A51" s="23" t="str">
        <x:v>HOU-06</x:v>
      </x:c>
      <x:c r="B51" s="23" t="str">
        <x:v>Line Dance Houston</x:v>
      </x:c>
      <x:c r="C51" s="23" t="str">
        <x:v>Houston</x:v>
      </x:c>
      <x:c r="D51" s="23" t="str">
        <x:v>Unknown</x:v>
      </x:c>
      <x:c r="E51" s="23" t="str">
        <x:v>Not discussed</x:v>
      </x:c>
      <x:c r="F51" s="23" t="str">
        <x:v>Not selected</x:v>
      </x:c>
      <x:c r="G51" s="24"/>
      <x:c r="H51" s="24"/>
      <x:c r="I51" s="23" t="str">
        <x:v>No</x:v>
      </x:c>
      <x:c r="J51" s="23" t="str">
        <x:v>No</x:v>
      </x:c>
      <x:c r="K51" s="23" t="str">
        <x:v>No</x:v>
      </x:c>
      <x:c r="L51" s="24"/>
      <x:c r="M51" s="25" t="str"/>
      <x:c r="N51" s="23" t="str">
        <x:v>No</x:v>
      </x:c>
      <x:c r="O51" s="24"/>
      <x:c r="P51" s="23" t="str">
        <x:v>No</x:v>
      </x:c>
      <x:c r="Q51" s="23" t="str">
        <x:v>No</x:v>
      </x:c>
      <x:c r="R51" s="23" t="str">
        <x:v>No</x:v>
      </x:c>
      <x:c r="S51" s="23" t="str">
        <x:v>Not started</x:v>
      </x:c>
      <x:c r="T51" s="25" t="str"/>
      <x:c r="U51" s="23" t="str">
        <x:v>Not started</x:v>
      </x:c>
      <x:c r="V51" s="23" t="str">
        <x:f>IF(S51="Published","Published",IF(Q51="Yes","Signed up",IF(K51="Yes","Content posted",IF(I51="Yes","Content received",IF(D51="Yes","Agreed",IF(D51="No","Declined","Not started"))))))</x:f>
        <x:v>Not started</x:v>
      </x:c>
      <x:c r="W51" s="23" t="str"/>
    </x:row>
    <x:row r="52" ht="33" customHeight="1">
      <x:c r="A52" s="23" t="str">
        <x:v>HOU-07</x:v>
      </x:c>
      <x:c r="B52" s="23" t="str">
        <x:v>ReRe Steppas</x:v>
      </x:c>
      <x:c r="C52" s="23" t="str">
        <x:v>Houston</x:v>
      </x:c>
      <x:c r="D52" s="23" t="str">
        <x:v>Unknown</x:v>
      </x:c>
      <x:c r="E52" s="23" t="str">
        <x:v>Not discussed</x:v>
      </x:c>
      <x:c r="F52" s="23" t="str">
        <x:v>Not selected</x:v>
      </x:c>
      <x:c r="G52" s="24"/>
      <x:c r="H52" s="24"/>
      <x:c r="I52" s="23" t="str">
        <x:v>No</x:v>
      </x:c>
      <x:c r="J52" s="23" t="str">
        <x:v>No</x:v>
      </x:c>
      <x:c r="K52" s="23" t="str">
        <x:v>No</x:v>
      </x:c>
      <x:c r="L52" s="24"/>
      <x:c r="M52" s="25" t="str"/>
      <x:c r="N52" s="23" t="str">
        <x:v>No</x:v>
      </x:c>
      <x:c r="O52" s="24"/>
      <x:c r="P52" s="23" t="str">
        <x:v>No</x:v>
      </x:c>
      <x:c r="Q52" s="23" t="str">
        <x:v>No</x:v>
      </x:c>
      <x:c r="R52" s="23" t="str">
        <x:v>No</x:v>
      </x:c>
      <x:c r="S52" s="23" t="str">
        <x:v>Not started</x:v>
      </x:c>
      <x:c r="T52" s="25" t="str"/>
      <x:c r="U52" s="23" t="str">
        <x:v>Not started</x:v>
      </x:c>
      <x:c r="V52" s="23" t="str">
        <x:f>IF(S52="Published","Published",IF(Q52="Yes","Signed up",IF(K52="Yes","Content posted",IF(I52="Yes","Content received",IF(D52="Yes","Agreed",IF(D52="No","Declined","Not started"))))))</x:f>
        <x:v>Not started</x:v>
      </x:c>
      <x:c r="W52" s="23" t="str"/>
    </x:row>
    <x:row r="53" ht="33" customHeight="1">
      <x:c r="A53" s="23" t="str">
        <x:v>HOU-08</x:v>
      </x:c>
      <x:c r="B53" s="23" t="str">
        <x:v>Step N Class</x:v>
      </x:c>
      <x:c r="C53" s="23" t="str">
        <x:v>Houston</x:v>
      </x:c>
      <x:c r="D53" s="23" t="str">
        <x:v>Unknown</x:v>
      </x:c>
      <x:c r="E53" s="23" t="str">
        <x:v>Not discussed</x:v>
      </x:c>
      <x:c r="F53" s="23" t="str">
        <x:v>Not selected</x:v>
      </x:c>
      <x:c r="G53" s="24"/>
      <x:c r="H53" s="24"/>
      <x:c r="I53" s="23" t="str">
        <x:v>No</x:v>
      </x:c>
      <x:c r="J53" s="23" t="str">
        <x:v>No</x:v>
      </x:c>
      <x:c r="K53" s="23" t="str">
        <x:v>No</x:v>
      </x:c>
      <x:c r="L53" s="24"/>
      <x:c r="M53" s="25" t="str"/>
      <x:c r="N53" s="23" t="str">
        <x:v>No</x:v>
      </x:c>
      <x:c r="O53" s="24"/>
      <x:c r="P53" s="23" t="str">
        <x:v>No</x:v>
      </x:c>
      <x:c r="Q53" s="23" t="str">
        <x:v>No</x:v>
      </x:c>
      <x:c r="R53" s="23" t="str">
        <x:v>No</x:v>
      </x:c>
      <x:c r="S53" s="23" t="str">
        <x:v>Not started</x:v>
      </x:c>
      <x:c r="T53" s="25" t="str"/>
      <x:c r="U53" s="23" t="str">
        <x:v>Not started</x:v>
      </x:c>
      <x:c r="V53" s="23" t="str">
        <x:f>IF(S53="Published","Published",IF(Q53="Yes","Signed up",IF(K53="Yes","Content posted",IF(I53="Yes","Content received",IF(D53="Yes","Agreed",IF(D53="No","Declined","Not started"))))))</x:f>
        <x:v>Not started</x:v>
      </x:c>
      <x:c r="W53" s="23" t="str"/>
    </x:row>
    <x:row r="54" ht="33" customHeight="1">
      <x:c r="A54" s="23" t="str">
        <x:v>HOU-09</x:v>
      </x:c>
      <x:c r="B54" s="23" t="str">
        <x:v>What A Dancer</x:v>
      </x:c>
      <x:c r="C54" s="23" t="str">
        <x:v>Houston</x:v>
      </x:c>
      <x:c r="D54" s="23" t="str">
        <x:v>Unknown</x:v>
      </x:c>
      <x:c r="E54" s="23" t="str">
        <x:v>Not discussed</x:v>
      </x:c>
      <x:c r="F54" s="23" t="str">
        <x:v>Not selected</x:v>
      </x:c>
      <x:c r="G54" s="24"/>
      <x:c r="H54" s="24"/>
      <x:c r="I54" s="23" t="str">
        <x:v>No</x:v>
      </x:c>
      <x:c r="J54" s="23" t="str">
        <x:v>No</x:v>
      </x:c>
      <x:c r="K54" s="23" t="str">
        <x:v>No</x:v>
      </x:c>
      <x:c r="L54" s="24"/>
      <x:c r="M54" s="25" t="str"/>
      <x:c r="N54" s="23" t="str">
        <x:v>No</x:v>
      </x:c>
      <x:c r="O54" s="24"/>
      <x:c r="P54" s="23" t="str">
        <x:v>No</x:v>
      </x:c>
      <x:c r="Q54" s="23" t="str">
        <x:v>No</x:v>
      </x:c>
      <x:c r="R54" s="23" t="str">
        <x:v>No</x:v>
      </x:c>
      <x:c r="S54" s="23" t="str">
        <x:v>Not started</x:v>
      </x:c>
      <x:c r="T54" s="25" t="str"/>
      <x:c r="U54" s="23" t="str">
        <x:v>Not started</x:v>
      </x:c>
      <x:c r="V54" s="23" t="str">
        <x:f>IF(S54="Published","Published",IF(Q54="Yes","Signed up",IF(K54="Yes","Content posted",IF(I54="Yes","Content received",IF(D54="Yes","Agreed",IF(D54="No","Declined","Not started"))))))</x:f>
        <x:v>Not started</x:v>
      </x:c>
      <x:c r="W54" s="23" t="str"/>
    </x:row>
    <x:row r="55" ht="33" customHeight="1">
      <x:c r="A55" s="23" t="str">
        <x:v>HOU-10</x:v>
      </x:c>
      <x:c r="B55" s="23" t="str">
        <x:v>Independent Houston Instructor</x:v>
      </x:c>
      <x:c r="C55" s="23" t="str">
        <x:v>Houston</x:v>
      </x:c>
      <x:c r="D55" s="23" t="str">
        <x:v>Unknown</x:v>
      </x:c>
      <x:c r="E55" s="23" t="str">
        <x:v>Not discussed</x:v>
      </x:c>
      <x:c r="F55" s="23" t="str">
        <x:v>Not selected</x:v>
      </x:c>
      <x:c r="G55" s="24"/>
      <x:c r="H55" s="24"/>
      <x:c r="I55" s="23" t="str">
        <x:v>No</x:v>
      </x:c>
      <x:c r="J55" s="23" t="str">
        <x:v>No</x:v>
      </x:c>
      <x:c r="K55" s="23" t="str">
        <x:v>No</x:v>
      </x:c>
      <x:c r="L55" s="24"/>
      <x:c r="M55" s="25" t="str"/>
      <x:c r="N55" s="23" t="str">
        <x:v>No</x:v>
      </x:c>
      <x:c r="O55" s="24"/>
      <x:c r="P55" s="23" t="str">
        <x:v>No</x:v>
      </x:c>
      <x:c r="Q55" s="23" t="str">
        <x:v>No</x:v>
      </x:c>
      <x:c r="R55" s="23" t="str">
        <x:v>No</x:v>
      </x:c>
      <x:c r="S55" s="23" t="str">
        <x:v>Not started</x:v>
      </x:c>
      <x:c r="T55" s="25" t="str"/>
      <x:c r="U55" s="23" t="str">
        <x:v>Not started</x:v>
      </x:c>
      <x:c r="V55" s="23" t="str">
        <x:f>IF(S55="Published","Published",IF(Q55="Yes","Signed up",IF(K55="Yes","Content posted",IF(I55="Yes","Content received",IF(D55="Yes","Agreed",IF(D55="No","Declined","Not started"))))))</x:f>
        <x:v>Not started</x:v>
      </x:c>
      <x:c r="W55" s="23" t="str"/>
    </x:row>
    <x:row r="56" ht="33" customHeight="1">
      <x:c r="A56" s="23" t="str">
        <x:v>SFB-01</x:v>
      </x:c>
      <x:c r="B56" s="23" t="str">
        <x:v>Line Dancing Lisa</x:v>
      </x:c>
      <x:c r="C56" s="23" t="str">
        <x:v>San Francisco Bay Area</x:v>
      </x:c>
      <x:c r="D56" s="23" t="str">
        <x:v>Unknown</x:v>
      </x:c>
      <x:c r="E56" s="23" t="str">
        <x:v>Not discussed</x:v>
      </x:c>
      <x:c r="F56" s="23" t="str">
        <x:v>Not selected</x:v>
      </x:c>
      <x:c r="G56" s="24"/>
      <x:c r="H56" s="24"/>
      <x:c r="I56" s="23" t="str">
        <x:v>No</x:v>
      </x:c>
      <x:c r="J56" s="23" t="str">
        <x:v>No</x:v>
      </x:c>
      <x:c r="K56" s="23" t="str">
        <x:v>No</x:v>
      </x:c>
      <x:c r="L56" s="24"/>
      <x:c r="M56" s="25" t="str"/>
      <x:c r="N56" s="23" t="str">
        <x:v>No</x:v>
      </x:c>
      <x:c r="O56" s="24"/>
      <x:c r="P56" s="23" t="str">
        <x:v>No</x:v>
      </x:c>
      <x:c r="Q56" s="23" t="str">
        <x:v>No</x:v>
      </x:c>
      <x:c r="R56" s="23" t="str">
        <x:v>No</x:v>
      </x:c>
      <x:c r="S56" s="23" t="str">
        <x:v>Not started</x:v>
      </x:c>
      <x:c r="T56" s="25" t="str"/>
      <x:c r="U56" s="23" t="str">
        <x:v>Not started</x:v>
      </x:c>
      <x:c r="V56" s="23" t="str">
        <x:f>IF(S56="Published","Published",IF(Q56="Yes","Signed up",IF(K56="Yes","Content posted",IF(I56="Yes","Content received",IF(D56="Yes","Agreed",IF(D56="No","Declined","Not started"))))))</x:f>
        <x:v>Not started</x:v>
      </x:c>
      <x:c r="W56" s="23" t="str"/>
    </x:row>
    <x:row r="57" ht="33" customHeight="1">
      <x:c r="A57" s="23" t="str">
        <x:v>SFB-02</x:v>
      </x:c>
      <x:c r="B57" s="23" t="str">
        <x:v>Sundance Saloon</x:v>
      </x:c>
      <x:c r="C57" s="23" t="str">
        <x:v>San Francisco Bay Area</x:v>
      </x:c>
      <x:c r="D57" s="23" t="str">
        <x:v>Unknown</x:v>
      </x:c>
      <x:c r="E57" s="23" t="str">
        <x:v>Not discussed</x:v>
      </x:c>
      <x:c r="F57" s="23" t="str">
        <x:v>Not selected</x:v>
      </x:c>
      <x:c r="G57" s="24"/>
      <x:c r="H57" s="24"/>
      <x:c r="I57" s="23" t="str">
        <x:v>No</x:v>
      </x:c>
      <x:c r="J57" s="23" t="str">
        <x:v>No</x:v>
      </x:c>
      <x:c r="K57" s="23" t="str">
        <x:v>No</x:v>
      </x:c>
      <x:c r="L57" s="24"/>
      <x:c r="M57" s="25" t="str"/>
      <x:c r="N57" s="23" t="str">
        <x:v>No</x:v>
      </x:c>
      <x:c r="O57" s="24"/>
      <x:c r="P57" s="23" t="str">
        <x:v>No</x:v>
      </x:c>
      <x:c r="Q57" s="23" t="str">
        <x:v>No</x:v>
      </x:c>
      <x:c r="R57" s="23" t="str">
        <x:v>No</x:v>
      </x:c>
      <x:c r="S57" s="23" t="str">
        <x:v>Not started</x:v>
      </x:c>
      <x:c r="T57" s="25" t="str"/>
      <x:c r="U57" s="23" t="str">
        <x:v>Not started</x:v>
      </x:c>
      <x:c r="V57" s="23" t="str">
        <x:f>IF(S57="Published","Published",IF(Q57="Yes","Signed up",IF(K57="Yes","Content posted",IF(I57="Yes","Content received",IF(D57="Yes","Agreed",IF(D57="No","Declined","Not started"))))))</x:f>
        <x:v>Not started</x:v>
      </x:c>
      <x:c r="W57" s="23" t="str"/>
    </x:row>
    <x:row r="58" ht="33" customHeight="1">
      <x:c r="A58" s="23" t="str">
        <x:v>SFB-03</x:v>
      </x:c>
      <x:c r="B58" s="23" t="str">
        <x:v>Lower Haight Line Dancing</x:v>
      </x:c>
      <x:c r="C58" s="23" t="str">
        <x:v>San Francisco Bay Area</x:v>
      </x:c>
      <x:c r="D58" s="23" t="str">
        <x:v>Unknown</x:v>
      </x:c>
      <x:c r="E58" s="23" t="str">
        <x:v>Not discussed</x:v>
      </x:c>
      <x:c r="F58" s="23" t="str">
        <x:v>Not selected</x:v>
      </x:c>
      <x:c r="G58" s="24"/>
      <x:c r="H58" s="24"/>
      <x:c r="I58" s="23" t="str">
        <x:v>No</x:v>
      </x:c>
      <x:c r="J58" s="23" t="str">
        <x:v>No</x:v>
      </x:c>
      <x:c r="K58" s="23" t="str">
        <x:v>No</x:v>
      </x:c>
      <x:c r="L58" s="24"/>
      <x:c r="M58" s="25" t="str"/>
      <x:c r="N58" s="23" t="str">
        <x:v>No</x:v>
      </x:c>
      <x:c r="O58" s="24"/>
      <x:c r="P58" s="23" t="str">
        <x:v>No</x:v>
      </x:c>
      <x:c r="Q58" s="23" t="str">
        <x:v>No</x:v>
      </x:c>
      <x:c r="R58" s="23" t="str">
        <x:v>No</x:v>
      </x:c>
      <x:c r="S58" s="23" t="str">
        <x:v>Not started</x:v>
      </x:c>
      <x:c r="T58" s="25" t="str"/>
      <x:c r="U58" s="23" t="str">
        <x:v>Not started</x:v>
      </x:c>
      <x:c r="V58" s="23" t="str">
        <x:f>IF(S58="Published","Published",IF(Q58="Yes","Signed up",IF(K58="Yes","Content posted",IF(I58="Yes","Content received",IF(D58="Yes","Agreed",IF(D58="No","Declined","Not started"))))))</x:f>
        <x:v>Not started</x:v>
      </x:c>
      <x:c r="W58" s="23" t="str"/>
    </x:row>
    <x:row r="59" ht="33" customHeight="1">
      <x:c r="A59" s="23" t="str">
        <x:v>SFB-04</x:v>
      </x:c>
      <x:c r="B59" s="23" t="str">
        <x:v>Lower Haight Line Dancing</x:v>
      </x:c>
      <x:c r="C59" s="23" t="str">
        <x:v>San Francisco Bay Area</x:v>
      </x:c>
      <x:c r="D59" s="23" t="str">
        <x:v>Unknown</x:v>
      </x:c>
      <x:c r="E59" s="23" t="str">
        <x:v>Not discussed</x:v>
      </x:c>
      <x:c r="F59" s="23" t="str">
        <x:v>Not selected</x:v>
      </x:c>
      <x:c r="G59" s="24"/>
      <x:c r="H59" s="24"/>
      <x:c r="I59" s="23" t="str">
        <x:v>No</x:v>
      </x:c>
      <x:c r="J59" s="23" t="str">
        <x:v>No</x:v>
      </x:c>
      <x:c r="K59" s="23" t="str">
        <x:v>No</x:v>
      </x:c>
      <x:c r="L59" s="24"/>
      <x:c r="M59" s="25" t="str"/>
      <x:c r="N59" s="23" t="str">
        <x:v>No</x:v>
      </x:c>
      <x:c r="O59" s="24"/>
      <x:c r="P59" s="23" t="str">
        <x:v>No</x:v>
      </x:c>
      <x:c r="Q59" s="23" t="str">
        <x:v>No</x:v>
      </x:c>
      <x:c r="R59" s="23" t="str">
        <x:v>No</x:v>
      </x:c>
      <x:c r="S59" s="23" t="str">
        <x:v>Not started</x:v>
      </x:c>
      <x:c r="T59" s="25" t="str"/>
      <x:c r="U59" s="23" t="str">
        <x:v>Not started</x:v>
      </x:c>
      <x:c r="V59" s="23" t="str">
        <x:f>IF(S59="Published","Published",IF(Q59="Yes","Signed up",IF(K59="Yes","Content posted",IF(I59="Yes","Content received",IF(D59="Yes","Agreed",IF(D59="No","Declined","Not started"))))))</x:f>
        <x:v>Not started</x:v>
      </x:c>
      <x:c r="W59" s="23" t="str"/>
    </x:row>
    <x:row r="60" ht="33" customHeight="1">
      <x:c r="A60" s="23" t="str">
        <x:v>SFB-05</x:v>
      </x:c>
      <x:c r="B60" s="23" t="str">
        <x:v>Sundance Saloon</x:v>
      </x:c>
      <x:c r="C60" s="23" t="str">
        <x:v>San Francisco Bay Area</x:v>
      </x:c>
      <x:c r="D60" s="23" t="str">
        <x:v>Unknown</x:v>
      </x:c>
      <x:c r="E60" s="23" t="str">
        <x:v>Not discussed</x:v>
      </x:c>
      <x:c r="F60" s="23" t="str">
        <x:v>Not selected</x:v>
      </x:c>
      <x:c r="G60" s="24"/>
      <x:c r="H60" s="24"/>
      <x:c r="I60" s="23" t="str">
        <x:v>No</x:v>
      </x:c>
      <x:c r="J60" s="23" t="str">
        <x:v>No</x:v>
      </x:c>
      <x:c r="K60" s="23" t="str">
        <x:v>No</x:v>
      </x:c>
      <x:c r="L60" s="24"/>
      <x:c r="M60" s="25" t="str"/>
      <x:c r="N60" s="23" t="str">
        <x:v>No</x:v>
      </x:c>
      <x:c r="O60" s="24"/>
      <x:c r="P60" s="23" t="str">
        <x:v>No</x:v>
      </x:c>
      <x:c r="Q60" s="23" t="str">
        <x:v>No</x:v>
      </x:c>
      <x:c r="R60" s="23" t="str">
        <x:v>No</x:v>
      </x:c>
      <x:c r="S60" s="23" t="str">
        <x:v>Not started</x:v>
      </x:c>
      <x:c r="T60" s="25" t="str"/>
      <x:c r="U60" s="23" t="str">
        <x:v>Not started</x:v>
      </x:c>
      <x:c r="V60" s="23" t="str">
        <x:f>IF(S60="Published","Published",IF(Q60="Yes","Signed up",IF(K60="Yes","Content posted",IF(I60="Yes","Content received",IF(D60="Yes","Agreed",IF(D60="No","Declined","Not started"))))))</x:f>
        <x:v>Not started</x:v>
      </x:c>
      <x:c r="W60" s="23" t="str"/>
    </x:row>
    <x:row r="61" ht="33" customHeight="1">
      <x:c r="A61" s="23" t="str">
        <x:v>SFB-06</x:v>
      </x:c>
      <x:c r="B61" s="23" t="str">
        <x:v>Sundance Saloon</x:v>
      </x:c>
      <x:c r="C61" s="23" t="str">
        <x:v>San Francisco Bay Area</x:v>
      </x:c>
      <x:c r="D61" s="23" t="str">
        <x:v>Unknown</x:v>
      </x:c>
      <x:c r="E61" s="23" t="str">
        <x:v>Not discussed</x:v>
      </x:c>
      <x:c r="F61" s="23" t="str">
        <x:v>Not selected</x:v>
      </x:c>
      <x:c r="G61" s="24"/>
      <x:c r="H61" s="24"/>
      <x:c r="I61" s="23" t="str">
        <x:v>No</x:v>
      </x:c>
      <x:c r="J61" s="23" t="str">
        <x:v>No</x:v>
      </x:c>
      <x:c r="K61" s="23" t="str">
        <x:v>No</x:v>
      </x:c>
      <x:c r="L61" s="24"/>
      <x:c r="M61" s="25" t="str"/>
      <x:c r="N61" s="23" t="str">
        <x:v>No</x:v>
      </x:c>
      <x:c r="O61" s="24"/>
      <x:c r="P61" s="23" t="str">
        <x:v>No</x:v>
      </x:c>
      <x:c r="Q61" s="23" t="str">
        <x:v>No</x:v>
      </x:c>
      <x:c r="R61" s="23" t="str">
        <x:v>No</x:v>
      </x:c>
      <x:c r="S61" s="23" t="str">
        <x:v>Not started</x:v>
      </x:c>
      <x:c r="T61" s="25" t="str"/>
      <x:c r="U61" s="23" t="str">
        <x:v>Not started</x:v>
      </x:c>
      <x:c r="V61" s="23" t="str">
        <x:f>IF(S61="Published","Published",IF(Q61="Yes","Signed up",IF(K61="Yes","Content posted",IF(I61="Yes","Content received",IF(D61="Yes","Agreed",IF(D61="No","Declined","Not started"))))))</x:f>
        <x:v>Not started</x:v>
      </x:c>
      <x:c r="W61" s="23" t="str"/>
    </x:row>
    <x:row r="62" ht="33" customHeight="1">
      <x:c r="A62" s="23" t="str">
        <x:v>SFB-07</x:v>
      </x:c>
      <x:c r="B62" s="23" t="str">
        <x:v>Sundance Saloon</x:v>
      </x:c>
      <x:c r="C62" s="23" t="str">
        <x:v>San Francisco Bay Area</x:v>
      </x:c>
      <x:c r="D62" s="23" t="str">
        <x:v>Unknown</x:v>
      </x:c>
      <x:c r="E62" s="23" t="str">
        <x:v>Not discussed</x:v>
      </x:c>
      <x:c r="F62" s="23" t="str">
        <x:v>Not selected</x:v>
      </x:c>
      <x:c r="G62" s="24"/>
      <x:c r="H62" s="24"/>
      <x:c r="I62" s="23" t="str">
        <x:v>No</x:v>
      </x:c>
      <x:c r="J62" s="23" t="str">
        <x:v>No</x:v>
      </x:c>
      <x:c r="K62" s="23" t="str">
        <x:v>No</x:v>
      </x:c>
      <x:c r="L62" s="24"/>
      <x:c r="M62" s="25" t="str"/>
      <x:c r="N62" s="23" t="str">
        <x:v>No</x:v>
      </x:c>
      <x:c r="O62" s="24"/>
      <x:c r="P62" s="23" t="str">
        <x:v>No</x:v>
      </x:c>
      <x:c r="Q62" s="23" t="str">
        <x:v>No</x:v>
      </x:c>
      <x:c r="R62" s="23" t="str">
        <x:v>No</x:v>
      </x:c>
      <x:c r="S62" s="23" t="str">
        <x:v>Not started</x:v>
      </x:c>
      <x:c r="T62" s="25" t="str"/>
      <x:c r="U62" s="23" t="str">
        <x:v>Not started</x:v>
      </x:c>
      <x:c r="V62" s="23" t="str">
        <x:f>IF(S62="Published","Published",IF(Q62="Yes","Signed up",IF(K62="Yes","Content posted",IF(I62="Yes","Content received",IF(D62="Yes","Agreed",IF(D62="No","Declined","Not started"))))))</x:f>
        <x:v>Not started</x:v>
      </x:c>
      <x:c r="W62" s="23" t="str"/>
    </x:row>
    <x:row r="63" ht="33" customHeight="1">
      <x:c r="A63" s="23" t="str">
        <x:v>SFB-08</x:v>
      </x:c>
      <x:c r="B63" s="23" t="str">
        <x:v>Dancing With Nanci</x:v>
      </x:c>
      <x:c r="C63" s="23" t="str">
        <x:v>San Francisco Bay Area</x:v>
      </x:c>
      <x:c r="D63" s="23" t="str">
        <x:v>Unknown</x:v>
      </x:c>
      <x:c r="E63" s="23" t="str">
        <x:v>Not discussed</x:v>
      </x:c>
      <x:c r="F63" s="23" t="str">
        <x:v>Not selected</x:v>
      </x:c>
      <x:c r="G63" s="24"/>
      <x:c r="H63" s="24"/>
      <x:c r="I63" s="23" t="str">
        <x:v>No</x:v>
      </x:c>
      <x:c r="J63" s="23" t="str">
        <x:v>No</x:v>
      </x:c>
      <x:c r="K63" s="23" t="str">
        <x:v>No</x:v>
      </x:c>
      <x:c r="L63" s="24"/>
      <x:c r="M63" s="25" t="str"/>
      <x:c r="N63" s="23" t="str">
        <x:v>No</x:v>
      </x:c>
      <x:c r="O63" s="24"/>
      <x:c r="P63" s="23" t="str">
        <x:v>No</x:v>
      </x:c>
      <x:c r="Q63" s="23" t="str">
        <x:v>No</x:v>
      </x:c>
      <x:c r="R63" s="23" t="str">
        <x:v>No</x:v>
      </x:c>
      <x:c r="S63" s="23" t="str">
        <x:v>Not started</x:v>
      </x:c>
      <x:c r="T63" s="25" t="str"/>
      <x:c r="U63" s="23" t="str">
        <x:v>Not started</x:v>
      </x:c>
      <x:c r="V63" s="23" t="str">
        <x:f>IF(S63="Published","Published",IF(Q63="Yes","Signed up",IF(K63="Yes","Content posted",IF(I63="Yes","Content received",IF(D63="Yes","Agreed",IF(D63="No","Declined","Not started"))))))</x:f>
        <x:v>Not started</x:v>
      </x:c>
      <x:c r="W63" s="23" t="str"/>
    </x:row>
    <x:row r="64" ht="33" customHeight="1">
      <x:c r="A64" s="23" t="str">
        <x:v>SFB-09</x:v>
      </x:c>
      <x:c r="B64" s="23" t="str">
        <x:v>Bay Area Queer Dance Society</x:v>
      </x:c>
      <x:c r="C64" s="23" t="str">
        <x:v>San Francisco Bay Area</x:v>
      </x:c>
      <x:c r="D64" s="23" t="str">
        <x:v>Unknown</x:v>
      </x:c>
      <x:c r="E64" s="23" t="str">
        <x:v>Not discussed</x:v>
      </x:c>
      <x:c r="F64" s="23" t="str">
        <x:v>Not selected</x:v>
      </x:c>
      <x:c r="G64" s="24"/>
      <x:c r="H64" s="24"/>
      <x:c r="I64" s="23" t="str">
        <x:v>No</x:v>
      </x:c>
      <x:c r="J64" s="23" t="str">
        <x:v>No</x:v>
      </x:c>
      <x:c r="K64" s="23" t="str">
        <x:v>No</x:v>
      </x:c>
      <x:c r="L64" s="24"/>
      <x:c r="M64" s="25" t="str"/>
      <x:c r="N64" s="23" t="str">
        <x:v>No</x:v>
      </x:c>
      <x:c r="O64" s="24"/>
      <x:c r="P64" s="23" t="str">
        <x:v>No</x:v>
      </x:c>
      <x:c r="Q64" s="23" t="str">
        <x:v>No</x:v>
      </x:c>
      <x:c r="R64" s="23" t="str">
        <x:v>No</x:v>
      </x:c>
      <x:c r="S64" s="23" t="str">
        <x:v>Not started</x:v>
      </x:c>
      <x:c r="T64" s="25" t="str"/>
      <x:c r="U64" s="23" t="str">
        <x:v>Not started</x:v>
      </x:c>
      <x:c r="V64" s="23" t="str">
        <x:f>IF(S64="Published","Published",IF(Q64="Yes","Signed up",IF(K64="Yes","Content posted",IF(I64="Yes","Content received",IF(D64="Yes","Agreed",IF(D64="No","Declined","Not started"))))))</x:f>
        <x:v>Not started</x:v>
      </x:c>
      <x:c r="W64" s="23" t="str"/>
    </x:row>
    <x:row r="65" ht="33" customHeight="1">
      <x:c r="A65" s="23" t="str">
        <x:v>SFB-10</x:v>
      </x:c>
      <x:c r="B65" s="23" t="str">
        <x:v>SCUFF and Bay Area community events</x:v>
      </x:c>
      <x:c r="C65" s="23" t="str">
        <x:v>San Francisco Bay Area</x:v>
      </x:c>
      <x:c r="D65" s="23" t="str">
        <x:v>Unknown</x:v>
      </x:c>
      <x:c r="E65" s="23" t="str">
        <x:v>Not discussed</x:v>
      </x:c>
      <x:c r="F65" s="23" t="str">
        <x:v>Not selected</x:v>
      </x:c>
      <x:c r="G65" s="24"/>
      <x:c r="H65" s="24"/>
      <x:c r="I65" s="23" t="str">
        <x:v>No</x:v>
      </x:c>
      <x:c r="J65" s="23" t="str">
        <x:v>No</x:v>
      </x:c>
      <x:c r="K65" s="23" t="str">
        <x:v>No</x:v>
      </x:c>
      <x:c r="L65" s="24"/>
      <x:c r="M65" s="25" t="str"/>
      <x:c r="N65" s="23" t="str">
        <x:v>No</x:v>
      </x:c>
      <x:c r="O65" s="24"/>
      <x:c r="P65" s="23" t="str">
        <x:v>No</x:v>
      </x:c>
      <x:c r="Q65" s="23" t="str">
        <x:v>No</x:v>
      </x:c>
      <x:c r="R65" s="23" t="str">
        <x:v>No</x:v>
      </x:c>
      <x:c r="S65" s="23" t="str">
        <x:v>Not started</x:v>
      </x:c>
      <x:c r="T65" s="25" t="str"/>
      <x:c r="U65" s="23" t="str">
        <x:v>Not started</x:v>
      </x:c>
      <x:c r="V65" s="23" t="str">
        <x:f>IF(S65="Published","Published",IF(Q65="Yes","Signed up",IF(K65="Yes","Content posted",IF(I65="Yes","Content received",IF(D65="Yes","Agreed",IF(D65="No","Declined","Not started"))))))</x:f>
        <x:v>Not started</x:v>
      </x:c>
      <x:c r="W65" s="23" t="str"/>
    </x:row>
    <x:row r="66" ht="33" customHeight="1">
      <x:c r="A66" s="23" t="str">
        <x:v>NYC-01</x:v>
      </x:c>
      <x:c r="B66" s="23" t="str">
        <x:v>Country City Line Dancing</x:v>
      </x:c>
      <x:c r="C66" s="23" t="str">
        <x:v>New York City metro</x:v>
      </x:c>
      <x:c r="D66" s="23" t="str">
        <x:v>Unknown</x:v>
      </x:c>
      <x:c r="E66" s="23" t="str">
        <x:v>Not discussed</x:v>
      </x:c>
      <x:c r="F66" s="23" t="str">
        <x:v>Not selected</x:v>
      </x:c>
      <x:c r="G66" s="24"/>
      <x:c r="H66" s="24"/>
      <x:c r="I66" s="23" t="str">
        <x:v>No</x:v>
      </x:c>
      <x:c r="J66" s="23" t="str">
        <x:v>No</x:v>
      </x:c>
      <x:c r="K66" s="23" t="str">
        <x:v>No</x:v>
      </x:c>
      <x:c r="L66" s="24"/>
      <x:c r="M66" s="25" t="str"/>
      <x:c r="N66" s="23" t="str">
        <x:v>No</x:v>
      </x:c>
      <x:c r="O66" s="24"/>
      <x:c r="P66" s="23" t="str">
        <x:v>No</x:v>
      </x:c>
      <x:c r="Q66" s="23" t="str">
        <x:v>No</x:v>
      </x:c>
      <x:c r="R66" s="23" t="str">
        <x:v>No</x:v>
      </x:c>
      <x:c r="S66" s="23" t="str">
        <x:v>Not started</x:v>
      </x:c>
      <x:c r="T66" s="25" t="str"/>
      <x:c r="U66" s="23" t="str">
        <x:v>Not started</x:v>
      </x:c>
      <x:c r="V66" s="23" t="str">
        <x:f>IF(S66="Published","Published",IF(Q66="Yes","Signed up",IF(K66="Yes","Content posted",IF(I66="Yes","Content received",IF(D66="Yes","Agreed",IF(D66="No","Declined","Not started"))))))</x:f>
        <x:v>Not started</x:v>
      </x:c>
      <x:c r="W66" s="23" t="str"/>
    </x:row>
    <x:row r="67" ht="33" customHeight="1">
      <x:c r="A67" s="23" t="str">
        <x:v>NYC-02</x:v>
      </x:c>
      <x:c r="B67" s="23" t="str">
        <x:v>Do Si Don'tcha</x:v>
      </x:c>
      <x:c r="C67" s="23" t="str">
        <x:v>New York City metro</x:v>
      </x:c>
      <x:c r="D67" s="23" t="str">
        <x:v>Unknown</x:v>
      </x:c>
      <x:c r="E67" s="23" t="str">
        <x:v>Not discussed</x:v>
      </x:c>
      <x:c r="F67" s="23" t="str">
        <x:v>Not selected</x:v>
      </x:c>
      <x:c r="G67" s="24"/>
      <x:c r="H67" s="24"/>
      <x:c r="I67" s="23" t="str">
        <x:v>No</x:v>
      </x:c>
      <x:c r="J67" s="23" t="str">
        <x:v>No</x:v>
      </x:c>
      <x:c r="K67" s="23" t="str">
        <x:v>No</x:v>
      </x:c>
      <x:c r="L67" s="24"/>
      <x:c r="M67" s="25" t="str"/>
      <x:c r="N67" s="23" t="str">
        <x:v>No</x:v>
      </x:c>
      <x:c r="O67" s="24"/>
      <x:c r="P67" s="23" t="str">
        <x:v>No</x:v>
      </x:c>
      <x:c r="Q67" s="23" t="str">
        <x:v>No</x:v>
      </x:c>
      <x:c r="R67" s="23" t="str">
        <x:v>No</x:v>
      </x:c>
      <x:c r="S67" s="23" t="str">
        <x:v>Not started</x:v>
      </x:c>
      <x:c r="T67" s="25" t="str"/>
      <x:c r="U67" s="23" t="str">
        <x:v>Not started</x:v>
      </x:c>
      <x:c r="V67" s="23" t="str">
        <x:f>IF(S67="Published","Published",IF(Q67="Yes","Signed up",IF(K67="Yes","Content posted",IF(I67="Yes","Content received",IF(D67="Yes","Agreed",IF(D67="No","Declined","Not started"))))))</x:f>
        <x:v>Not started</x:v>
      </x:c>
      <x:c r="W67" s="23" t="str"/>
    </x:row>
    <x:row r="68" ht="33" customHeight="1">
      <x:c r="A68" s="23" t="str">
        <x:v>NYC-03</x:v>
      </x:c>
      <x:c r="B68" s="23" t="str">
        <x:v>Do Si Don'tcha</x:v>
      </x:c>
      <x:c r="C68" s="23" t="str">
        <x:v>New York City metro</x:v>
      </x:c>
      <x:c r="D68" s="23" t="str">
        <x:v>Unknown</x:v>
      </x:c>
      <x:c r="E68" s="23" t="str">
        <x:v>Not discussed</x:v>
      </x:c>
      <x:c r="F68" s="23" t="str">
        <x:v>Not selected</x:v>
      </x:c>
      <x:c r="G68" s="24"/>
      <x:c r="H68" s="24"/>
      <x:c r="I68" s="23" t="str">
        <x:v>No</x:v>
      </x:c>
      <x:c r="J68" s="23" t="str">
        <x:v>No</x:v>
      </x:c>
      <x:c r="K68" s="23" t="str">
        <x:v>No</x:v>
      </x:c>
      <x:c r="L68" s="24"/>
      <x:c r="M68" s="25" t="str"/>
      <x:c r="N68" s="23" t="str">
        <x:v>No</x:v>
      </x:c>
      <x:c r="O68" s="24"/>
      <x:c r="P68" s="23" t="str">
        <x:v>No</x:v>
      </x:c>
      <x:c r="Q68" s="23" t="str">
        <x:v>No</x:v>
      </x:c>
      <x:c r="R68" s="23" t="str">
        <x:v>No</x:v>
      </x:c>
      <x:c r="S68" s="23" t="str">
        <x:v>Not started</x:v>
      </x:c>
      <x:c r="T68" s="25" t="str"/>
      <x:c r="U68" s="23" t="str">
        <x:v>Not started</x:v>
      </x:c>
      <x:c r="V68" s="23" t="str">
        <x:f>IF(S68="Published","Published",IF(Q68="Yes","Signed up",IF(K68="Yes","Content posted",IF(I68="Yes","Content received",IF(D68="Yes","Agreed",IF(D68="No","Declined","Not started"))))))</x:f>
        <x:v>Not started</x:v>
      </x:c>
      <x:c r="W68" s="23" t="str"/>
    </x:row>
    <x:row r="69" ht="33" customHeight="1">
      <x:c r="A69" s="23" t="str">
        <x:v>NYC-04</x:v>
      </x:c>
      <x:c r="B69" s="23" t="str">
        <x:v>Rona Kaye Line Dance</x:v>
      </x:c>
      <x:c r="C69" s="23" t="str">
        <x:v>New York City metro</x:v>
      </x:c>
      <x:c r="D69" s="23" t="str">
        <x:v>Unknown</x:v>
      </x:c>
      <x:c r="E69" s="23" t="str">
        <x:v>Not discussed</x:v>
      </x:c>
      <x:c r="F69" s="23" t="str">
        <x:v>Not selected</x:v>
      </x:c>
      <x:c r="G69" s="24"/>
      <x:c r="H69" s="24"/>
      <x:c r="I69" s="23" t="str">
        <x:v>No</x:v>
      </x:c>
      <x:c r="J69" s="23" t="str">
        <x:v>No</x:v>
      </x:c>
      <x:c r="K69" s="23" t="str">
        <x:v>No</x:v>
      </x:c>
      <x:c r="L69" s="24"/>
      <x:c r="M69" s="25" t="str"/>
      <x:c r="N69" s="23" t="str">
        <x:v>No</x:v>
      </x:c>
      <x:c r="O69" s="24"/>
      <x:c r="P69" s="23" t="str">
        <x:v>No</x:v>
      </x:c>
      <x:c r="Q69" s="23" t="str">
        <x:v>No</x:v>
      </x:c>
      <x:c r="R69" s="23" t="str">
        <x:v>No</x:v>
      </x:c>
      <x:c r="S69" s="23" t="str">
        <x:v>Not started</x:v>
      </x:c>
      <x:c r="T69" s="25" t="str"/>
      <x:c r="U69" s="23" t="str">
        <x:v>Not started</x:v>
      </x:c>
      <x:c r="V69" s="23" t="str">
        <x:f>IF(S69="Published","Published",IF(Q69="Yes","Signed up",IF(K69="Yes","Content posted",IF(I69="Yes","Content received",IF(D69="Yes","Agreed",IF(D69="No","Declined","Not started"))))))</x:f>
        <x:v>Not started</x:v>
      </x:c>
      <x:c r="W69" s="23" t="str"/>
    </x:row>
    <x:row r="70" ht="33" customHeight="1">
      <x:c r="A70" s="23" t="str">
        <x:v>NYC-05</x:v>
      </x:c>
      <x:c r="B70" s="23" t="str">
        <x:v>Dancing With Deanna</x:v>
      </x:c>
      <x:c r="C70" s="23" t="str">
        <x:v>New York City metro</x:v>
      </x:c>
      <x:c r="D70" s="23" t="str">
        <x:v>Unknown</x:v>
      </x:c>
      <x:c r="E70" s="23" t="str">
        <x:v>Not discussed</x:v>
      </x:c>
      <x:c r="F70" s="23" t="str">
        <x:v>Not selected</x:v>
      </x:c>
      <x:c r="G70" s="24"/>
      <x:c r="H70" s="24"/>
      <x:c r="I70" s="23" t="str">
        <x:v>No</x:v>
      </x:c>
      <x:c r="J70" s="23" t="str">
        <x:v>No</x:v>
      </x:c>
      <x:c r="K70" s="23" t="str">
        <x:v>No</x:v>
      </x:c>
      <x:c r="L70" s="24"/>
      <x:c r="M70" s="25" t="str"/>
      <x:c r="N70" s="23" t="str">
        <x:v>No</x:v>
      </x:c>
      <x:c r="O70" s="24"/>
      <x:c r="P70" s="23" t="str">
        <x:v>No</x:v>
      </x:c>
      <x:c r="Q70" s="23" t="str">
        <x:v>No</x:v>
      </x:c>
      <x:c r="R70" s="23" t="str">
        <x:v>No</x:v>
      </x:c>
      <x:c r="S70" s="23" t="str">
        <x:v>Not started</x:v>
      </x:c>
      <x:c r="T70" s="25" t="str"/>
      <x:c r="U70" s="23" t="str">
        <x:v>Not started</x:v>
      </x:c>
      <x:c r="V70" s="23" t="str">
        <x:f>IF(S70="Published","Published",IF(Q70="Yes","Signed up",IF(K70="Yes","Content posted",IF(I70="Yes","Content received",IF(D70="Yes","Agreed",IF(D70="No","Declined","Not started"))))))</x:f>
        <x:v>Not started</x:v>
      </x:c>
      <x:c r="W70" s="23" t="str"/>
    </x:row>
    <x:row r="71" ht="33" customHeight="1">
      <x:c r="A71" s="23" t="str">
        <x:v>NYC-06</x:v>
      </x:c>
      <x:c r="B71" s="23" t="str">
        <x:v>Line Dancing With Lynn</x:v>
      </x:c>
      <x:c r="C71" s="23" t="str">
        <x:v>New York City metro</x:v>
      </x:c>
      <x:c r="D71" s="23" t="str">
        <x:v>Unknown</x:v>
      </x:c>
      <x:c r="E71" s="23" t="str">
        <x:v>Not discussed</x:v>
      </x:c>
      <x:c r="F71" s="23" t="str">
        <x:v>Not selected</x:v>
      </x:c>
      <x:c r="G71" s="24"/>
      <x:c r="H71" s="24"/>
      <x:c r="I71" s="23" t="str">
        <x:v>No</x:v>
      </x:c>
      <x:c r="J71" s="23" t="str">
        <x:v>No</x:v>
      </x:c>
      <x:c r="K71" s="23" t="str">
        <x:v>No</x:v>
      </x:c>
      <x:c r="L71" s="24"/>
      <x:c r="M71" s="25" t="str"/>
      <x:c r="N71" s="23" t="str">
        <x:v>No</x:v>
      </x:c>
      <x:c r="O71" s="24"/>
      <x:c r="P71" s="23" t="str">
        <x:v>No</x:v>
      </x:c>
      <x:c r="Q71" s="23" t="str">
        <x:v>No</x:v>
      </x:c>
      <x:c r="R71" s="23" t="str">
        <x:v>No</x:v>
      </x:c>
      <x:c r="S71" s="23" t="str">
        <x:v>Not started</x:v>
      </x:c>
      <x:c r="T71" s="25" t="str"/>
      <x:c r="U71" s="23" t="str">
        <x:v>Not started</x:v>
      </x:c>
      <x:c r="V71" s="23" t="str">
        <x:f>IF(S71="Published","Published",IF(Q71="Yes","Signed up",IF(K71="Yes","Content posted",IF(I71="Yes","Content received",IF(D71="Yes","Agreed",IF(D71="No","Declined","Not started"))))))</x:f>
        <x:v>Not started</x:v>
      </x:c>
      <x:c r="W71" s="23" t="str"/>
    </x:row>
    <x:row r="72" ht="33" customHeight="1">
      <x:c r="A72" s="23" t="str">
        <x:v>NYC-07</x:v>
      </x:c>
      <x:c r="B72" s="23" t="str">
        <x:v>Line Dancing With Jenn</x:v>
      </x:c>
      <x:c r="C72" s="23" t="str">
        <x:v>New York City metro</x:v>
      </x:c>
      <x:c r="D72" s="23" t="str">
        <x:v>Unknown</x:v>
      </x:c>
      <x:c r="E72" s="23" t="str">
        <x:v>Not discussed</x:v>
      </x:c>
      <x:c r="F72" s="23" t="str">
        <x:v>Not selected</x:v>
      </x:c>
      <x:c r="G72" s="24"/>
      <x:c r="H72" s="24"/>
      <x:c r="I72" s="23" t="str">
        <x:v>No</x:v>
      </x:c>
      <x:c r="J72" s="23" t="str">
        <x:v>No</x:v>
      </x:c>
      <x:c r="K72" s="23" t="str">
        <x:v>No</x:v>
      </x:c>
      <x:c r="L72" s="24"/>
      <x:c r="M72" s="25" t="str"/>
      <x:c r="N72" s="23" t="str">
        <x:v>No</x:v>
      </x:c>
      <x:c r="O72" s="24"/>
      <x:c r="P72" s="23" t="str">
        <x:v>No</x:v>
      </x:c>
      <x:c r="Q72" s="23" t="str">
        <x:v>No</x:v>
      </x:c>
      <x:c r="R72" s="23" t="str">
        <x:v>No</x:v>
      </x:c>
      <x:c r="S72" s="23" t="str">
        <x:v>Not started</x:v>
      </x:c>
      <x:c r="T72" s="25" t="str"/>
      <x:c r="U72" s="23" t="str">
        <x:v>Not started</x:v>
      </x:c>
      <x:c r="V72" s="23" t="str">
        <x:f>IF(S72="Published","Published",IF(Q72="Yes","Signed up",IF(K72="Yes","Content posted",IF(I72="Yes","Content received",IF(D72="Yes","Agreed",IF(D72="No","Declined","Not started"))))))</x:f>
        <x:v>Not started</x:v>
      </x:c>
      <x:c r="W72" s="23" t="str"/>
    </x:row>
    <x:row r="73" ht="33" customHeight="1">
      <x:c r="A73" s="23" t="str">
        <x:v>NYC-08</x:v>
      </x:c>
      <x:c r="B73" s="23" t="str">
        <x:v>Line Dance With Elena</x:v>
      </x:c>
      <x:c r="C73" s="23" t="str">
        <x:v>New York City metro</x:v>
      </x:c>
      <x:c r="D73" s="23" t="str">
        <x:v>Unknown</x:v>
      </x:c>
      <x:c r="E73" s="23" t="str">
        <x:v>Not discussed</x:v>
      </x:c>
      <x:c r="F73" s="23" t="str">
        <x:v>Not selected</x:v>
      </x:c>
      <x:c r="G73" s="24"/>
      <x:c r="H73" s="24"/>
      <x:c r="I73" s="23" t="str">
        <x:v>No</x:v>
      </x:c>
      <x:c r="J73" s="23" t="str">
        <x:v>No</x:v>
      </x:c>
      <x:c r="K73" s="23" t="str">
        <x:v>No</x:v>
      </x:c>
      <x:c r="L73" s="24"/>
      <x:c r="M73" s="25" t="str"/>
      <x:c r="N73" s="23" t="str">
        <x:v>No</x:v>
      </x:c>
      <x:c r="O73" s="24"/>
      <x:c r="P73" s="23" t="str">
        <x:v>No</x:v>
      </x:c>
      <x:c r="Q73" s="23" t="str">
        <x:v>No</x:v>
      </x:c>
      <x:c r="R73" s="23" t="str">
        <x:v>No</x:v>
      </x:c>
      <x:c r="S73" s="23" t="str">
        <x:v>Not started</x:v>
      </x:c>
      <x:c r="T73" s="25" t="str"/>
      <x:c r="U73" s="23" t="str">
        <x:v>Not started</x:v>
      </x:c>
      <x:c r="V73" s="23" t="str">
        <x:f>IF(S73="Published","Published",IF(Q73="Yes","Signed up",IF(K73="Yes","Content posted",IF(I73="Yes","Content received",IF(D73="Yes","Agreed",IF(D73="No","Declined","Not started"))))))</x:f>
        <x:v>Not started</x:v>
      </x:c>
      <x:c r="W73" s="23" t="str"/>
    </x:row>
    <x:row r="74" ht="33" customHeight="1">
      <x:c r="A74" s="23" t="str">
        <x:v>NYC-09</x:v>
      </x:c>
      <x:c r="B74" s="23" t="str">
        <x:v>Independent Long Island Instructor</x:v>
      </x:c>
      <x:c r="C74" s="23" t="str">
        <x:v>New York City metro</x:v>
      </x:c>
      <x:c r="D74" s="23" t="str">
        <x:v>Unknown</x:v>
      </x:c>
      <x:c r="E74" s="23" t="str">
        <x:v>Not discussed</x:v>
      </x:c>
      <x:c r="F74" s="23" t="str">
        <x:v>Not selected</x:v>
      </x:c>
      <x:c r="G74" s="24"/>
      <x:c r="H74" s="24"/>
      <x:c r="I74" s="23" t="str">
        <x:v>No</x:v>
      </x:c>
      <x:c r="J74" s="23" t="str">
        <x:v>No</x:v>
      </x:c>
      <x:c r="K74" s="23" t="str">
        <x:v>No</x:v>
      </x:c>
      <x:c r="L74" s="24"/>
      <x:c r="M74" s="25" t="str"/>
      <x:c r="N74" s="23" t="str">
        <x:v>No</x:v>
      </x:c>
      <x:c r="O74" s="24"/>
      <x:c r="P74" s="23" t="str">
        <x:v>No</x:v>
      </x:c>
      <x:c r="Q74" s="23" t="str">
        <x:v>No</x:v>
      </x:c>
      <x:c r="R74" s="23" t="str">
        <x:v>No</x:v>
      </x:c>
      <x:c r="S74" s="23" t="str">
        <x:v>Not started</x:v>
      </x:c>
      <x:c r="T74" s="25" t="str"/>
      <x:c r="U74" s="23" t="str">
        <x:v>Not started</x:v>
      </x:c>
      <x:c r="V74" s="23" t="str">
        <x:f>IF(S74="Published","Published",IF(Q74="Yes","Signed up",IF(K74="Yes","Content posted",IF(I74="Yes","Content received",IF(D74="Yes","Agreed",IF(D74="No","Declined","Not started"))))))</x:f>
        <x:v>Not started</x:v>
      </x:c>
      <x:c r="W74" s="23" t="str"/>
    </x:row>
    <x:row r="75" ht="33" customHeight="1">
      <x:c r="A75" s="23" t="str">
        <x:v>NYC-10</x:v>
      </x:c>
      <x:c r="B75" s="23" t="str">
        <x:v>Salty Cowboy</x:v>
      </x:c>
      <x:c r="C75" s="23" t="str">
        <x:v>New York City metro</x:v>
      </x:c>
      <x:c r="D75" s="23" t="str">
        <x:v>Unknown</x:v>
      </x:c>
      <x:c r="E75" s="23" t="str">
        <x:v>Not discussed</x:v>
      </x:c>
      <x:c r="F75" s="23" t="str">
        <x:v>Not selected</x:v>
      </x:c>
      <x:c r="G75" s="24"/>
      <x:c r="H75" s="24"/>
      <x:c r="I75" s="23" t="str">
        <x:v>No</x:v>
      </x:c>
      <x:c r="J75" s="23" t="str">
        <x:v>No</x:v>
      </x:c>
      <x:c r="K75" s="23" t="str">
        <x:v>No</x:v>
      </x:c>
      <x:c r="L75" s="24"/>
      <x:c r="M75" s="25" t="str"/>
      <x:c r="N75" s="23" t="str">
        <x:v>No</x:v>
      </x:c>
      <x:c r="O75" s="24"/>
      <x:c r="P75" s="23" t="str">
        <x:v>No</x:v>
      </x:c>
      <x:c r="Q75" s="23" t="str">
        <x:v>No</x:v>
      </x:c>
      <x:c r="R75" s="23" t="str">
        <x:v>No</x:v>
      </x:c>
      <x:c r="S75" s="23" t="str">
        <x:v>Not started</x:v>
      </x:c>
      <x:c r="T75" s="25" t="str"/>
      <x:c r="U75" s="23" t="str">
        <x:v>Not started</x:v>
      </x:c>
      <x:c r="V75" s="23" t="str">
        <x:f>IF(S75="Published","Published",IF(Q75="Yes","Signed up",IF(K75="Yes","Content posted",IF(I75="Yes","Content received",IF(D75="Yes","Agreed",IF(D75="No","Declined","Not started"))))))</x:f>
        <x:v>Not started</x:v>
      </x:c>
      <x:c r="W75" s="23" t="str"/>
    </x:row>
    <x:row r="76" ht="33" customHeight="1">
      <x:c r="A76" s="23" t="str">
        <x:v>PHX-01</x:v>
      </x:c>
      <x:c r="B76" s="23" t="str">
        <x:v>Adam the Dancing Cowboy</x:v>
      </x:c>
      <x:c r="C76" s="23" t="str">
        <x:v>Phoenix and Scottsdale</x:v>
      </x:c>
      <x:c r="D76" s="23" t="str">
        <x:v>Unknown</x:v>
      </x:c>
      <x:c r="E76" s="23" t="str">
        <x:v>Not discussed</x:v>
      </x:c>
      <x:c r="F76" s="23" t="str">
        <x:v>Not selected</x:v>
      </x:c>
      <x:c r="G76" s="24"/>
      <x:c r="H76" s="24"/>
      <x:c r="I76" s="23" t="str">
        <x:v>No</x:v>
      </x:c>
      <x:c r="J76" s="23" t="str">
        <x:v>No</x:v>
      </x:c>
      <x:c r="K76" s="23" t="str">
        <x:v>No</x:v>
      </x:c>
      <x:c r="L76" s="24"/>
      <x:c r="M76" s="25" t="str"/>
      <x:c r="N76" s="23" t="str">
        <x:v>No</x:v>
      </x:c>
      <x:c r="O76" s="24"/>
      <x:c r="P76" s="23" t="str">
        <x:v>No</x:v>
      </x:c>
      <x:c r="Q76" s="23" t="str">
        <x:v>No</x:v>
      </x:c>
      <x:c r="R76" s="23" t="str">
        <x:v>No</x:v>
      </x:c>
      <x:c r="S76" s="23" t="str">
        <x:v>Not started</x:v>
      </x:c>
      <x:c r="T76" s="25" t="str"/>
      <x:c r="U76" s="23" t="str">
        <x:v>Not started</x:v>
      </x:c>
      <x:c r="V76" s="23" t="str">
        <x:f>IF(S76="Published","Published",IF(Q76="Yes","Signed up",IF(K76="Yes","Content posted",IF(I76="Yes","Content received",IF(D76="Yes","Agreed",IF(D76="No","Declined","Not started"))))))</x:f>
        <x:v>Not started</x:v>
      </x:c>
      <x:c r="W76" s="23" t="str"/>
    </x:row>
    <x:row r="77" ht="33" customHeight="1">
      <x:c r="A77" s="23" t="str">
        <x:v>PHX-02</x:v>
      </x:c>
      <x:c r="B77" s="23" t="str">
        <x:v>Line Dance With Jackie AZ</x:v>
      </x:c>
      <x:c r="C77" s="23" t="str">
        <x:v>Phoenix and Scottsdale</x:v>
      </x:c>
      <x:c r="D77" s="23" t="str">
        <x:v>Unknown</x:v>
      </x:c>
      <x:c r="E77" s="23" t="str">
        <x:v>Not discussed</x:v>
      </x:c>
      <x:c r="F77" s="23" t="str">
        <x:v>Not selected</x:v>
      </x:c>
      <x:c r="G77" s="24"/>
      <x:c r="H77" s="24"/>
      <x:c r="I77" s="23" t="str">
        <x:v>No</x:v>
      </x:c>
      <x:c r="J77" s="23" t="str">
        <x:v>No</x:v>
      </x:c>
      <x:c r="K77" s="23" t="str">
        <x:v>No</x:v>
      </x:c>
      <x:c r="L77" s="24"/>
      <x:c r="M77" s="25" t="str"/>
      <x:c r="N77" s="23" t="str">
        <x:v>No</x:v>
      </x:c>
      <x:c r="O77" s="24"/>
      <x:c r="P77" s="23" t="str">
        <x:v>No</x:v>
      </x:c>
      <x:c r="Q77" s="23" t="str">
        <x:v>No</x:v>
      </x:c>
      <x:c r="R77" s="23" t="str">
        <x:v>No</x:v>
      </x:c>
      <x:c r="S77" s="23" t="str">
        <x:v>Not started</x:v>
      </x:c>
      <x:c r="T77" s="25" t="str"/>
      <x:c r="U77" s="23" t="str">
        <x:v>Not started</x:v>
      </x:c>
      <x:c r="V77" s="23" t="str">
        <x:f>IF(S77="Published","Published",IF(Q77="Yes","Signed up",IF(K77="Yes","Content posted",IF(I77="Yes","Content received",IF(D77="Yes","Agreed",IF(D77="No","Declined","Not started"))))))</x:f>
        <x:v>Not started</x:v>
      </x:c>
      <x:c r="W77" s="23" t="str"/>
    </x:row>
    <x:row r="78" ht="33" customHeight="1">
      <x:c r="A78" s="23" t="str">
        <x:v>PHX-03</x:v>
      </x:c>
      <x:c r="B78" s="23" t="str">
        <x:v>Fatcat Ballroom</x:v>
      </x:c>
      <x:c r="C78" s="23" t="str">
        <x:v>Phoenix and Scottsdale</x:v>
      </x:c>
      <x:c r="D78" s="23" t="str">
        <x:v>Unknown</x:v>
      </x:c>
      <x:c r="E78" s="23" t="str">
        <x:v>Not discussed</x:v>
      </x:c>
      <x:c r="F78" s="23" t="str">
        <x:v>Not selected</x:v>
      </x:c>
      <x:c r="G78" s="24"/>
      <x:c r="H78" s="24"/>
      <x:c r="I78" s="23" t="str">
        <x:v>No</x:v>
      </x:c>
      <x:c r="J78" s="23" t="str">
        <x:v>No</x:v>
      </x:c>
      <x:c r="K78" s="23" t="str">
        <x:v>No</x:v>
      </x:c>
      <x:c r="L78" s="24"/>
      <x:c r="M78" s="25" t="str"/>
      <x:c r="N78" s="23" t="str">
        <x:v>No</x:v>
      </x:c>
      <x:c r="O78" s="24"/>
      <x:c r="P78" s="23" t="str">
        <x:v>No</x:v>
      </x:c>
      <x:c r="Q78" s="23" t="str">
        <x:v>No</x:v>
      </x:c>
      <x:c r="R78" s="23" t="str">
        <x:v>No</x:v>
      </x:c>
      <x:c r="S78" s="23" t="str">
        <x:v>Not started</x:v>
      </x:c>
      <x:c r="T78" s="25" t="str"/>
      <x:c r="U78" s="23" t="str">
        <x:v>Not started</x:v>
      </x:c>
      <x:c r="V78" s="23" t="str">
        <x:f>IF(S78="Published","Published",IF(Q78="Yes","Signed up",IF(K78="Yes","Content posted",IF(I78="Yes","Content received",IF(D78="Yes","Agreed",IF(D78="No","Declined","Not started"))))))</x:f>
        <x:v>Not started</x:v>
      </x:c>
      <x:c r="W78" s="23" t="str"/>
    </x:row>
    <x:row r="79" ht="33" customHeight="1">
      <x:c r="A79" s="23" t="str">
        <x:v>PHX-04</x:v>
      </x:c>
      <x:c r="B79" s="23" t="str">
        <x:v>Fatcat Ballroom</x:v>
      </x:c>
      <x:c r="C79" s="23" t="str">
        <x:v>Phoenix and Scottsdale</x:v>
      </x:c>
      <x:c r="D79" s="23" t="str">
        <x:v>Unknown</x:v>
      </x:c>
      <x:c r="E79" s="23" t="str">
        <x:v>Not discussed</x:v>
      </x:c>
      <x:c r="F79" s="23" t="str">
        <x:v>Not selected</x:v>
      </x:c>
      <x:c r="G79" s="24"/>
      <x:c r="H79" s="24"/>
      <x:c r="I79" s="23" t="str">
        <x:v>No</x:v>
      </x:c>
      <x:c r="J79" s="23" t="str">
        <x:v>No</x:v>
      </x:c>
      <x:c r="K79" s="23" t="str">
        <x:v>No</x:v>
      </x:c>
      <x:c r="L79" s="24"/>
      <x:c r="M79" s="25" t="str"/>
      <x:c r="N79" s="23" t="str">
        <x:v>No</x:v>
      </x:c>
      <x:c r="O79" s="24"/>
      <x:c r="P79" s="23" t="str">
        <x:v>No</x:v>
      </x:c>
      <x:c r="Q79" s="23" t="str">
        <x:v>No</x:v>
      </x:c>
      <x:c r="R79" s="23" t="str">
        <x:v>No</x:v>
      </x:c>
      <x:c r="S79" s="23" t="str">
        <x:v>Not started</x:v>
      </x:c>
      <x:c r="T79" s="25" t="str"/>
      <x:c r="U79" s="23" t="str">
        <x:v>Not started</x:v>
      </x:c>
      <x:c r="V79" s="23" t="str">
        <x:f>IF(S79="Published","Published",IF(Q79="Yes","Signed up",IF(K79="Yes","Content posted",IF(I79="Yes","Content received",IF(D79="Yes","Agreed",IF(D79="No","Declined","Not started"))))))</x:f>
        <x:v>Not started</x:v>
      </x:c>
      <x:c r="W79" s="23" t="str"/>
    </x:row>
    <x:row r="80" ht="33" customHeight="1">
      <x:c r="A80" s="23" t="str">
        <x:v>PHX-05</x:v>
      </x:c>
      <x:c r="B80" s="23" t="str">
        <x:v>Honky Tonk Heaven AZ</x:v>
      </x:c>
      <x:c r="C80" s="23" t="str">
        <x:v>Phoenix and Scottsdale</x:v>
      </x:c>
      <x:c r="D80" s="23" t="str">
        <x:v>Unknown</x:v>
      </x:c>
      <x:c r="E80" s="23" t="str">
        <x:v>Not discussed</x:v>
      </x:c>
      <x:c r="F80" s="23" t="str">
        <x:v>Not selected</x:v>
      </x:c>
      <x:c r="G80" s="24"/>
      <x:c r="H80" s="24"/>
      <x:c r="I80" s="23" t="str">
        <x:v>No</x:v>
      </x:c>
      <x:c r="J80" s="23" t="str">
        <x:v>No</x:v>
      </x:c>
      <x:c r="K80" s="23" t="str">
        <x:v>No</x:v>
      </x:c>
      <x:c r="L80" s="24"/>
      <x:c r="M80" s="25" t="str"/>
      <x:c r="N80" s="23" t="str">
        <x:v>No</x:v>
      </x:c>
      <x:c r="O80" s="24"/>
      <x:c r="P80" s="23" t="str">
        <x:v>No</x:v>
      </x:c>
      <x:c r="Q80" s="23" t="str">
        <x:v>No</x:v>
      </x:c>
      <x:c r="R80" s="23" t="str">
        <x:v>No</x:v>
      </x:c>
      <x:c r="S80" s="23" t="str">
        <x:v>Not started</x:v>
      </x:c>
      <x:c r="T80" s="25" t="str"/>
      <x:c r="U80" s="23" t="str">
        <x:v>Not started</x:v>
      </x:c>
      <x:c r="V80" s="23" t="str">
        <x:f>IF(S80="Published","Published",IF(Q80="Yes","Signed up",IF(K80="Yes","Content posted",IF(I80="Yes","Content received",IF(D80="Yes","Agreed",IF(D80="No","Declined","Not started"))))))</x:f>
        <x:v>Not started</x:v>
      </x:c>
      <x:c r="W80" s="23" t="str"/>
    </x:row>
    <x:row r="81" ht="33" customHeight="1">
      <x:c r="A81" s="23" t="str">
        <x:v>PHX-06</x:v>
      </x:c>
      <x:c r="B81" s="23" t="str">
        <x:v>Honky Tonk Heaven AZ</x:v>
      </x:c>
      <x:c r="C81" s="23" t="str">
        <x:v>Phoenix and Scottsdale</x:v>
      </x:c>
      <x:c r="D81" s="23" t="str">
        <x:v>Unknown</x:v>
      </x:c>
      <x:c r="E81" s="23" t="str">
        <x:v>Not discussed</x:v>
      </x:c>
      <x:c r="F81" s="23" t="str">
        <x:v>Not selected</x:v>
      </x:c>
      <x:c r="G81" s="24"/>
      <x:c r="H81" s="24"/>
      <x:c r="I81" s="23" t="str">
        <x:v>No</x:v>
      </x:c>
      <x:c r="J81" s="23" t="str">
        <x:v>No</x:v>
      </x:c>
      <x:c r="K81" s="23" t="str">
        <x:v>No</x:v>
      </x:c>
      <x:c r="L81" s="24"/>
      <x:c r="M81" s="25" t="str"/>
      <x:c r="N81" s="23" t="str">
        <x:v>No</x:v>
      </x:c>
      <x:c r="O81" s="24"/>
      <x:c r="P81" s="23" t="str">
        <x:v>No</x:v>
      </x:c>
      <x:c r="Q81" s="23" t="str">
        <x:v>No</x:v>
      </x:c>
      <x:c r="R81" s="23" t="str">
        <x:v>No</x:v>
      </x:c>
      <x:c r="S81" s="23" t="str">
        <x:v>Not started</x:v>
      </x:c>
      <x:c r="T81" s="25" t="str"/>
      <x:c r="U81" s="23" t="str">
        <x:v>Not started</x:v>
      </x:c>
      <x:c r="V81" s="23" t="str">
        <x:f>IF(S81="Published","Published",IF(Q81="Yes","Signed up",IF(K81="Yes","Content posted",IF(I81="Yes","Content received",IF(D81="Yes","Agreed",IF(D81="No","Declined","Not started"))))))</x:f>
        <x:v>Not started</x:v>
      </x:c>
      <x:c r="W81" s="23" t="str"/>
    </x:row>
    <x:row r="82" ht="33" customHeight="1">
      <x:c r="A82" s="23" t="str">
        <x:v>PHX-07</x:v>
      </x:c>
      <x:c r="B82" s="23" t="str">
        <x:v>AZ 2-Step</x:v>
      </x:c>
      <x:c r="C82" s="23" t="str">
        <x:v>Phoenix and Scottsdale</x:v>
      </x:c>
      <x:c r="D82" s="23" t="str">
        <x:v>Unknown</x:v>
      </x:c>
      <x:c r="E82" s="23" t="str">
        <x:v>Not discussed</x:v>
      </x:c>
      <x:c r="F82" s="23" t="str">
        <x:v>Not selected</x:v>
      </x:c>
      <x:c r="G82" s="24"/>
      <x:c r="H82" s="24"/>
      <x:c r="I82" s="23" t="str">
        <x:v>No</x:v>
      </x:c>
      <x:c r="J82" s="23" t="str">
        <x:v>No</x:v>
      </x:c>
      <x:c r="K82" s="23" t="str">
        <x:v>No</x:v>
      </x:c>
      <x:c r="L82" s="24"/>
      <x:c r="M82" s="25" t="str"/>
      <x:c r="N82" s="23" t="str">
        <x:v>No</x:v>
      </x:c>
      <x:c r="O82" s="24"/>
      <x:c r="P82" s="23" t="str">
        <x:v>No</x:v>
      </x:c>
      <x:c r="Q82" s="23" t="str">
        <x:v>No</x:v>
      </x:c>
      <x:c r="R82" s="23" t="str">
        <x:v>No</x:v>
      </x:c>
      <x:c r="S82" s="23" t="str">
        <x:v>Not started</x:v>
      </x:c>
      <x:c r="T82" s="25" t="str"/>
      <x:c r="U82" s="23" t="str">
        <x:v>Not started</x:v>
      </x:c>
      <x:c r="V82" s="23" t="str">
        <x:f>IF(S82="Published","Published",IF(Q82="Yes","Signed up",IF(K82="Yes","Content posted",IF(I82="Yes","Content received",IF(D82="Yes","Agreed",IF(D82="No","Declined","Not started"))))))</x:f>
        <x:v>Not started</x:v>
      </x:c>
      <x:c r="W82" s="23" t="str"/>
    </x:row>
    <x:row r="83" ht="33" customHeight="1">
      <x:c r="A83" s="23" t="str">
        <x:v>PHX-08</x:v>
      </x:c>
      <x:c r="B83" s="23" t="str">
        <x:v>AZ 2-Step</x:v>
      </x:c>
      <x:c r="C83" s="23" t="str">
        <x:v>Phoenix and Scottsdale</x:v>
      </x:c>
      <x:c r="D83" s="23" t="str">
        <x:v>Unknown</x:v>
      </x:c>
      <x:c r="E83" s="23" t="str">
        <x:v>Not discussed</x:v>
      </x:c>
      <x:c r="F83" s="23" t="str">
        <x:v>Not selected</x:v>
      </x:c>
      <x:c r="G83" s="24"/>
      <x:c r="H83" s="24"/>
      <x:c r="I83" s="23" t="str">
        <x:v>No</x:v>
      </x:c>
      <x:c r="J83" s="23" t="str">
        <x:v>No</x:v>
      </x:c>
      <x:c r="K83" s="23" t="str">
        <x:v>No</x:v>
      </x:c>
      <x:c r="L83" s="24"/>
      <x:c r="M83" s="25" t="str"/>
      <x:c r="N83" s="23" t="str">
        <x:v>No</x:v>
      </x:c>
      <x:c r="O83" s="24"/>
      <x:c r="P83" s="23" t="str">
        <x:v>No</x:v>
      </x:c>
      <x:c r="Q83" s="23" t="str">
        <x:v>No</x:v>
      </x:c>
      <x:c r="R83" s="23" t="str">
        <x:v>No</x:v>
      </x:c>
      <x:c r="S83" s="23" t="str">
        <x:v>Not started</x:v>
      </x:c>
      <x:c r="T83" s="25" t="str"/>
      <x:c r="U83" s="23" t="str">
        <x:v>Not started</x:v>
      </x:c>
      <x:c r="V83" s="23" t="str">
        <x:f>IF(S83="Published","Published",IF(Q83="Yes","Signed up",IF(K83="Yes","Content posted",IF(I83="Yes","Content received",IF(D83="Yes","Agreed",IF(D83="No","Declined","Not started"))))))</x:f>
        <x:v>Not started</x:v>
      </x:c>
      <x:c r="W83" s="23" t="str"/>
    </x:row>
    <x:row r="84" ht="33" customHeight="1">
      <x:c r="A84" s="23" t="str">
        <x:v>PHX-09</x:v>
      </x:c>
      <x:c r="B84" s="23" t="str">
        <x:v>Fatcat Ballroom</x:v>
      </x:c>
      <x:c r="C84" s="23" t="str">
        <x:v>Phoenix and Scottsdale</x:v>
      </x:c>
      <x:c r="D84" s="23" t="str">
        <x:v>Unknown</x:v>
      </x:c>
      <x:c r="E84" s="23" t="str">
        <x:v>Not discussed</x:v>
      </x:c>
      <x:c r="F84" s="23" t="str">
        <x:v>Not selected</x:v>
      </x:c>
      <x:c r="G84" s="24"/>
      <x:c r="H84" s="24"/>
      <x:c r="I84" s="23" t="str">
        <x:v>No</x:v>
      </x:c>
      <x:c r="J84" s="23" t="str">
        <x:v>No</x:v>
      </x:c>
      <x:c r="K84" s="23" t="str">
        <x:v>No</x:v>
      </x:c>
      <x:c r="L84" s="24"/>
      <x:c r="M84" s="25" t="str"/>
      <x:c r="N84" s="23" t="str">
        <x:v>No</x:v>
      </x:c>
      <x:c r="O84" s="24"/>
      <x:c r="P84" s="23" t="str">
        <x:v>No</x:v>
      </x:c>
      <x:c r="Q84" s="23" t="str">
        <x:v>No</x:v>
      </x:c>
      <x:c r="R84" s="23" t="str">
        <x:v>No</x:v>
      </x:c>
      <x:c r="S84" s="23" t="str">
        <x:v>Not started</x:v>
      </x:c>
      <x:c r="T84" s="25" t="str"/>
      <x:c r="U84" s="23" t="str">
        <x:v>Not started</x:v>
      </x:c>
      <x:c r="V84" s="23" t="str">
        <x:f>IF(S84="Published","Published",IF(Q84="Yes","Signed up",IF(K84="Yes","Content posted",IF(I84="Yes","Content received",IF(D84="Yes","Agreed",IF(D84="No","Declined","Not started"))))))</x:f>
        <x:v>Not started</x:v>
      </x:c>
      <x:c r="W84" s="23" t="str"/>
    </x:row>
    <x:row r="85" ht="33" customHeight="1">
      <x:c r="A85" s="23" t="str">
        <x:v>PHX-10</x:v>
      </x:c>
      <x:c r="B85" s="23" t="str">
        <x:v>Shall We Dance Phoenix</x:v>
      </x:c>
      <x:c r="C85" s="23" t="str">
        <x:v>Phoenix and Scottsdale</x:v>
      </x:c>
      <x:c r="D85" s="23" t="str">
        <x:v>Unknown</x:v>
      </x:c>
      <x:c r="E85" s="23" t="str">
        <x:v>Not discussed</x:v>
      </x:c>
      <x:c r="F85" s="23" t="str">
        <x:v>Not selected</x:v>
      </x:c>
      <x:c r="G85" s="24"/>
      <x:c r="H85" s="24"/>
      <x:c r="I85" s="23" t="str">
        <x:v>No</x:v>
      </x:c>
      <x:c r="J85" s="23" t="str">
        <x:v>No</x:v>
      </x:c>
      <x:c r="K85" s="23" t="str">
        <x:v>No</x:v>
      </x:c>
      <x:c r="L85" s="24"/>
      <x:c r="M85" s="25" t="str"/>
      <x:c r="N85" s="23" t="str">
        <x:v>No</x:v>
      </x:c>
      <x:c r="O85" s="24"/>
      <x:c r="P85" s="23" t="str">
        <x:v>No</x:v>
      </x:c>
      <x:c r="Q85" s="23" t="str">
        <x:v>No</x:v>
      </x:c>
      <x:c r="R85" s="23" t="str">
        <x:v>No</x:v>
      </x:c>
      <x:c r="S85" s="23" t="str">
        <x:v>Not started</x:v>
      </x:c>
      <x:c r="T85" s="25" t="str"/>
      <x:c r="U85" s="23" t="str">
        <x:v>Not started</x:v>
      </x:c>
      <x:c r="V85" s="23" t="str">
        <x:f>IF(S85="Published","Published",IF(Q85="Yes","Signed up",IF(K85="Yes","Content posted",IF(I85="Yes","Content received",IF(D85="Yes","Agreed",IF(D85="No","Declined","Not started"))))))</x:f>
        <x:v>Not started</x:v>
      </x:c>
      <x:c r="W85" s="23" t="str"/>
    </x:row>
    <x:row r="86" ht="33" customHeight="1">
      <x:c r="A86" s="23" t="str">
        <x:v>ATL-01</x:v>
      </x:c>
      <x:c r="B86" s="23" t="str">
        <x:v>Trè Little Line Dance</x:v>
      </x:c>
      <x:c r="C86" s="23" t="str">
        <x:v>Atlanta</x:v>
      </x:c>
      <x:c r="D86" s="23" t="str">
        <x:v>Unknown</x:v>
      </x:c>
      <x:c r="E86" s="23" t="str">
        <x:v>Not discussed</x:v>
      </x:c>
      <x:c r="F86" s="23" t="str">
        <x:v>Not selected</x:v>
      </x:c>
      <x:c r="G86" s="24"/>
      <x:c r="H86" s="24"/>
      <x:c r="I86" s="23" t="str">
        <x:v>No</x:v>
      </x:c>
      <x:c r="J86" s="23" t="str">
        <x:v>No</x:v>
      </x:c>
      <x:c r="K86" s="23" t="str">
        <x:v>No</x:v>
      </x:c>
      <x:c r="L86" s="24"/>
      <x:c r="M86" s="25" t="str"/>
      <x:c r="N86" s="23" t="str">
        <x:v>No</x:v>
      </x:c>
      <x:c r="O86" s="24"/>
      <x:c r="P86" s="23" t="str">
        <x:v>No</x:v>
      </x:c>
      <x:c r="Q86" s="23" t="str">
        <x:v>No</x:v>
      </x:c>
      <x:c r="R86" s="23" t="str">
        <x:v>No</x:v>
      </x:c>
      <x:c r="S86" s="23" t="str">
        <x:v>Not started</x:v>
      </x:c>
      <x:c r="T86" s="25" t="str"/>
      <x:c r="U86" s="23" t="str">
        <x:v>Not started</x:v>
      </x:c>
      <x:c r="V86" s="23" t="str">
        <x:f>IF(S86="Published","Published",IF(Q86="Yes","Signed up",IF(K86="Yes","Content posted",IF(I86="Yes","Content received",IF(D86="Yes","Agreed",IF(D86="No","Declined","Not started"))))))</x:f>
        <x:v>Not started</x:v>
      </x:c>
      <x:c r="W86" s="23" t="str"/>
    </x:row>
    <x:row r="87" ht="33" customHeight="1">
      <x:c r="A87" s="23" t="str">
        <x:v>ATL-02</x:v>
      </x:c>
      <x:c r="B87" s="23" t="str">
        <x:v>Smooth Moves With Auntie Amber</x:v>
      </x:c>
      <x:c r="C87" s="23" t="str">
        <x:v>Atlanta</x:v>
      </x:c>
      <x:c r="D87" s="23" t="str">
        <x:v>Unknown</x:v>
      </x:c>
      <x:c r="E87" s="23" t="str">
        <x:v>Not discussed</x:v>
      </x:c>
      <x:c r="F87" s="23" t="str">
        <x:v>Not selected</x:v>
      </x:c>
      <x:c r="G87" s="24"/>
      <x:c r="H87" s="24"/>
      <x:c r="I87" s="23" t="str">
        <x:v>No</x:v>
      </x:c>
      <x:c r="J87" s="23" t="str">
        <x:v>No</x:v>
      </x:c>
      <x:c r="K87" s="23" t="str">
        <x:v>No</x:v>
      </x:c>
      <x:c r="L87" s="24"/>
      <x:c r="M87" s="25" t="str"/>
      <x:c r="N87" s="23" t="str">
        <x:v>No</x:v>
      </x:c>
      <x:c r="O87" s="24"/>
      <x:c r="P87" s="23" t="str">
        <x:v>No</x:v>
      </x:c>
      <x:c r="Q87" s="23" t="str">
        <x:v>No</x:v>
      </x:c>
      <x:c r="R87" s="23" t="str">
        <x:v>No</x:v>
      </x:c>
      <x:c r="S87" s="23" t="str">
        <x:v>Not started</x:v>
      </x:c>
      <x:c r="T87" s="25" t="str"/>
      <x:c r="U87" s="23" t="str">
        <x:v>Not started</x:v>
      </x:c>
      <x:c r="V87" s="23" t="str">
        <x:f>IF(S87="Published","Published",IF(Q87="Yes","Signed up",IF(K87="Yes","Content posted",IF(I87="Yes","Content received",IF(D87="Yes","Agreed",IF(D87="No","Declined","Not started"))))))</x:f>
        <x:v>Not started</x:v>
      </x:c>
      <x:c r="W87" s="23" t="str"/>
    </x:row>
    <x:row r="88" ht="33" customHeight="1">
      <x:c r="A88" s="23" t="str">
        <x:v>ATL-03</x:v>
      </x:c>
      <x:c r="B88" s="23" t="str">
        <x:v>Scooter Lee</x:v>
      </x:c>
      <x:c r="C88" s="23" t="str">
        <x:v>Atlanta</x:v>
      </x:c>
      <x:c r="D88" s="23" t="str">
        <x:v>Unknown</x:v>
      </x:c>
      <x:c r="E88" s="23" t="str">
        <x:v>Not discussed</x:v>
      </x:c>
      <x:c r="F88" s="23" t="str">
        <x:v>Not selected</x:v>
      </x:c>
      <x:c r="G88" s="24"/>
      <x:c r="H88" s="24"/>
      <x:c r="I88" s="23" t="str">
        <x:v>No</x:v>
      </x:c>
      <x:c r="J88" s="23" t="str">
        <x:v>No</x:v>
      </x:c>
      <x:c r="K88" s="23" t="str">
        <x:v>No</x:v>
      </x:c>
      <x:c r="L88" s="24"/>
      <x:c r="M88" s="25" t="str"/>
      <x:c r="N88" s="23" t="str">
        <x:v>No</x:v>
      </x:c>
      <x:c r="O88" s="24"/>
      <x:c r="P88" s="23" t="str">
        <x:v>No</x:v>
      </x:c>
      <x:c r="Q88" s="23" t="str">
        <x:v>No</x:v>
      </x:c>
      <x:c r="R88" s="23" t="str">
        <x:v>No</x:v>
      </x:c>
      <x:c r="S88" s="23" t="str">
        <x:v>Not started</x:v>
      </x:c>
      <x:c r="T88" s="25" t="str"/>
      <x:c r="U88" s="23" t="str">
        <x:v>Not started</x:v>
      </x:c>
      <x:c r="V88" s="23" t="str">
        <x:f>IF(S88="Published","Published",IF(Q88="Yes","Signed up",IF(K88="Yes","Content posted",IF(I88="Yes","Content received",IF(D88="Yes","Agreed",IF(D88="No","Declined","Not started"))))))</x:f>
        <x:v>Not started</x:v>
      </x:c>
      <x:c r="W88" s="23" t="str"/>
    </x:row>
    <x:row r="89" ht="33" customHeight="1">
      <x:c r="A89" s="23" t="str">
        <x:v>ATL-04</x:v>
      </x:c>
      <x:c r="B89" s="23" t="str">
        <x:v>Step In Time Productions</x:v>
      </x:c>
      <x:c r="C89" s="23" t="str">
        <x:v>Atlanta</x:v>
      </x:c>
      <x:c r="D89" s="23" t="str">
        <x:v>Unknown</x:v>
      </x:c>
      <x:c r="E89" s="23" t="str">
        <x:v>Not discussed</x:v>
      </x:c>
      <x:c r="F89" s="23" t="str">
        <x:v>Not selected</x:v>
      </x:c>
      <x:c r="G89" s="24"/>
      <x:c r="H89" s="24"/>
      <x:c r="I89" s="23" t="str">
        <x:v>No</x:v>
      </x:c>
      <x:c r="J89" s="23" t="str">
        <x:v>No</x:v>
      </x:c>
      <x:c r="K89" s="23" t="str">
        <x:v>No</x:v>
      </x:c>
      <x:c r="L89" s="24"/>
      <x:c r="M89" s="25" t="str"/>
      <x:c r="N89" s="23" t="str">
        <x:v>No</x:v>
      </x:c>
      <x:c r="O89" s="24"/>
      <x:c r="P89" s="23" t="str">
        <x:v>No</x:v>
      </x:c>
      <x:c r="Q89" s="23" t="str">
        <x:v>No</x:v>
      </x:c>
      <x:c r="R89" s="23" t="str">
        <x:v>No</x:v>
      </x:c>
      <x:c r="S89" s="23" t="str">
        <x:v>Not started</x:v>
      </x:c>
      <x:c r="T89" s="25" t="str"/>
      <x:c r="U89" s="23" t="str">
        <x:v>Not started</x:v>
      </x:c>
      <x:c r="V89" s="23" t="str">
        <x:f>IF(S89="Published","Published",IF(Q89="Yes","Signed up",IF(K89="Yes","Content posted",IF(I89="Yes","Content received",IF(D89="Yes","Agreed",IF(D89="No","Declined","Not started"))))))</x:f>
        <x:v>Not started</x:v>
      </x:c>
      <x:c r="W89" s="23" t="str"/>
    </x:row>
    <x:row r="90" ht="33" customHeight="1">
      <x:c r="A90" s="23" t="str">
        <x:v>ATL-05</x:v>
      </x:c>
      <x:c r="B90" s="23" t="str">
        <x:v>Atlanta Linedancing</x:v>
      </x:c>
      <x:c r="C90" s="23" t="str">
        <x:v>Atlanta</x:v>
      </x:c>
      <x:c r="D90" s="23" t="str">
        <x:v>Unknown</x:v>
      </x:c>
      <x:c r="E90" s="23" t="str">
        <x:v>Not discussed</x:v>
      </x:c>
      <x:c r="F90" s="23" t="str">
        <x:v>Not selected</x:v>
      </x:c>
      <x:c r="G90" s="24"/>
      <x:c r="H90" s="24"/>
      <x:c r="I90" s="23" t="str">
        <x:v>No</x:v>
      </x:c>
      <x:c r="J90" s="23" t="str">
        <x:v>No</x:v>
      </x:c>
      <x:c r="K90" s="23" t="str">
        <x:v>No</x:v>
      </x:c>
      <x:c r="L90" s="24"/>
      <x:c r="M90" s="25" t="str"/>
      <x:c r="N90" s="23" t="str">
        <x:v>No</x:v>
      </x:c>
      <x:c r="O90" s="24"/>
      <x:c r="P90" s="23" t="str">
        <x:v>No</x:v>
      </x:c>
      <x:c r="Q90" s="23" t="str">
        <x:v>No</x:v>
      </x:c>
      <x:c r="R90" s="23" t="str">
        <x:v>No</x:v>
      </x:c>
      <x:c r="S90" s="23" t="str">
        <x:v>Not started</x:v>
      </x:c>
      <x:c r="T90" s="25" t="str"/>
      <x:c r="U90" s="23" t="str">
        <x:v>Not started</x:v>
      </x:c>
      <x:c r="V90" s="23" t="str">
        <x:f>IF(S90="Published","Published",IF(Q90="Yes","Signed up",IF(K90="Yes","Content posted",IF(I90="Yes","Content received",IF(D90="Yes","Agreed",IF(D90="No","Declined","Not started"))))))</x:f>
        <x:v>Not started</x:v>
      </x:c>
      <x:c r="W90" s="23" t="str"/>
    </x:row>
    <x:row r="91" ht="33" customHeight="1">
      <x:c r="A91" s="23" t="str">
        <x:v>ATL-06</x:v>
      </x:c>
      <x:c r="B91" s="23" t="str">
        <x:v>LJ Fitness Services</x:v>
      </x:c>
      <x:c r="C91" s="23" t="str">
        <x:v>Atlanta</x:v>
      </x:c>
      <x:c r="D91" s="23" t="str">
        <x:v>Unknown</x:v>
      </x:c>
      <x:c r="E91" s="23" t="str">
        <x:v>Not discussed</x:v>
      </x:c>
      <x:c r="F91" s="23" t="str">
        <x:v>Not selected</x:v>
      </x:c>
      <x:c r="G91" s="24"/>
      <x:c r="H91" s="24"/>
      <x:c r="I91" s="23" t="str">
        <x:v>No</x:v>
      </x:c>
      <x:c r="J91" s="23" t="str">
        <x:v>No</x:v>
      </x:c>
      <x:c r="K91" s="23" t="str">
        <x:v>No</x:v>
      </x:c>
      <x:c r="L91" s="24"/>
      <x:c r="M91" s="25" t="str"/>
      <x:c r="N91" s="23" t="str">
        <x:v>No</x:v>
      </x:c>
      <x:c r="O91" s="24"/>
      <x:c r="P91" s="23" t="str">
        <x:v>No</x:v>
      </x:c>
      <x:c r="Q91" s="23" t="str">
        <x:v>No</x:v>
      </x:c>
      <x:c r="R91" s="23" t="str">
        <x:v>No</x:v>
      </x:c>
      <x:c r="S91" s="23" t="str">
        <x:v>Not started</x:v>
      </x:c>
      <x:c r="T91" s="25" t="str"/>
      <x:c r="U91" s="23" t="str">
        <x:v>Not started</x:v>
      </x:c>
      <x:c r="V91" s="23" t="str">
        <x:f>IF(S91="Published","Published",IF(Q91="Yes","Signed up",IF(K91="Yes","Content posted",IF(I91="Yes","Content received",IF(D91="Yes","Agreed",IF(D91="No","Declined","Not started"))))))</x:f>
        <x:v>Not started</x:v>
      </x:c>
      <x:c r="W91" s="23" t="str"/>
    </x:row>
    <x:row r="92" ht="33" customHeight="1">
      <x:c r="A92" s="23" t="str">
        <x:v>ATL-07</x:v>
      </x:c>
      <x:c r="B92" s="23" t="str">
        <x:v>Atlanta Country Nights</x:v>
      </x:c>
      <x:c r="C92" s="23" t="str">
        <x:v>Atlanta</x:v>
      </x:c>
      <x:c r="D92" s="23" t="str">
        <x:v>Unknown</x:v>
      </x:c>
      <x:c r="E92" s="23" t="str">
        <x:v>Not discussed</x:v>
      </x:c>
      <x:c r="F92" s="23" t="str">
        <x:v>Not selected</x:v>
      </x:c>
      <x:c r="G92" s="24"/>
      <x:c r="H92" s="24"/>
      <x:c r="I92" s="23" t="str">
        <x:v>No</x:v>
      </x:c>
      <x:c r="J92" s="23" t="str">
        <x:v>No</x:v>
      </x:c>
      <x:c r="K92" s="23" t="str">
        <x:v>No</x:v>
      </x:c>
      <x:c r="L92" s="24"/>
      <x:c r="M92" s="25" t="str"/>
      <x:c r="N92" s="23" t="str">
        <x:v>No</x:v>
      </x:c>
      <x:c r="O92" s="24"/>
      <x:c r="P92" s="23" t="str">
        <x:v>No</x:v>
      </x:c>
      <x:c r="Q92" s="23" t="str">
        <x:v>No</x:v>
      </x:c>
      <x:c r="R92" s="23" t="str">
        <x:v>No</x:v>
      </x:c>
      <x:c r="S92" s="23" t="str">
        <x:v>Not started</x:v>
      </x:c>
      <x:c r="T92" s="25" t="str"/>
      <x:c r="U92" s="23" t="str">
        <x:v>Not started</x:v>
      </x:c>
      <x:c r="V92" s="23" t="str">
        <x:f>IF(S92="Published","Published",IF(Q92="Yes","Signed up",IF(K92="Yes","Content posted",IF(I92="Yes","Content received",IF(D92="Yes","Agreed",IF(D92="No","Declined","Not started"))))))</x:f>
        <x:v>Not started</x:v>
      </x:c>
      <x:c r="W92" s="23" t="str"/>
    </x:row>
    <x:row r="93" ht="33" customHeight="1">
      <x:c r="A93" s="23" t="str">
        <x:v>ATL-08</x:v>
      </x:c>
      <x:c r="B93" s="23" t="str">
        <x:v>Line Dancing With Michelle Neese</x:v>
      </x:c>
      <x:c r="C93" s="23" t="str">
        <x:v>Atlanta</x:v>
      </x:c>
      <x:c r="D93" s="23" t="str">
        <x:v>Unknown</x:v>
      </x:c>
      <x:c r="E93" s="23" t="str">
        <x:v>Not discussed</x:v>
      </x:c>
      <x:c r="F93" s="23" t="str">
        <x:v>Not selected</x:v>
      </x:c>
      <x:c r="G93" s="24"/>
      <x:c r="H93" s="24"/>
      <x:c r="I93" s="23" t="str">
        <x:v>No</x:v>
      </x:c>
      <x:c r="J93" s="23" t="str">
        <x:v>No</x:v>
      </x:c>
      <x:c r="K93" s="23" t="str">
        <x:v>No</x:v>
      </x:c>
      <x:c r="L93" s="24"/>
      <x:c r="M93" s="25" t="str"/>
      <x:c r="N93" s="23" t="str">
        <x:v>No</x:v>
      </x:c>
      <x:c r="O93" s="24"/>
      <x:c r="P93" s="23" t="str">
        <x:v>No</x:v>
      </x:c>
      <x:c r="Q93" s="23" t="str">
        <x:v>No</x:v>
      </x:c>
      <x:c r="R93" s="23" t="str">
        <x:v>No</x:v>
      </x:c>
      <x:c r="S93" s="23" t="str">
        <x:v>Not started</x:v>
      </x:c>
      <x:c r="T93" s="25" t="str"/>
      <x:c r="U93" s="23" t="str">
        <x:v>Not started</x:v>
      </x:c>
      <x:c r="V93" s="23" t="str">
        <x:f>IF(S93="Published","Published",IF(Q93="Yes","Signed up",IF(K93="Yes","Content posted",IF(I93="Yes","Content received",IF(D93="Yes","Agreed",IF(D93="No","Declined","Not started"))))))</x:f>
        <x:v>Not started</x:v>
      </x:c>
      <x:c r="W93" s="23" t="str"/>
    </x:row>
    <x:row r="94" ht="33" customHeight="1">
      <x:c r="A94" s="23" t="str">
        <x:v>ATL-09</x:v>
      </x:c>
      <x:c r="B94" s="23" t="str">
        <x:v>Coach Frankie 2.0</x:v>
      </x:c>
      <x:c r="C94" s="23" t="str">
        <x:v>Atlanta</x:v>
      </x:c>
      <x:c r="D94" s="23" t="str">
        <x:v>Unknown</x:v>
      </x:c>
      <x:c r="E94" s="23" t="str">
        <x:v>Not discussed</x:v>
      </x:c>
      <x:c r="F94" s="23" t="str">
        <x:v>Not selected</x:v>
      </x:c>
      <x:c r="G94" s="24"/>
      <x:c r="H94" s="24"/>
      <x:c r="I94" s="23" t="str">
        <x:v>No</x:v>
      </x:c>
      <x:c r="J94" s="23" t="str">
        <x:v>No</x:v>
      </x:c>
      <x:c r="K94" s="23" t="str">
        <x:v>No</x:v>
      </x:c>
      <x:c r="L94" s="24"/>
      <x:c r="M94" s="25" t="str"/>
      <x:c r="N94" s="23" t="str">
        <x:v>No</x:v>
      </x:c>
      <x:c r="O94" s="24"/>
      <x:c r="P94" s="23" t="str">
        <x:v>No</x:v>
      </x:c>
      <x:c r="Q94" s="23" t="str">
        <x:v>No</x:v>
      </x:c>
      <x:c r="R94" s="23" t="str">
        <x:v>No</x:v>
      </x:c>
      <x:c r="S94" s="23" t="str">
        <x:v>Not started</x:v>
      </x:c>
      <x:c r="T94" s="25" t="str"/>
      <x:c r="U94" s="23" t="str">
        <x:v>Not started</x:v>
      </x:c>
      <x:c r="V94" s="23" t="str">
        <x:f>IF(S94="Published","Published",IF(Q94="Yes","Signed up",IF(K94="Yes","Content posted",IF(I94="Yes","Content received",IF(D94="Yes","Agreed",IF(D94="No","Declined","Not started"))))))</x:f>
        <x:v>Not started</x:v>
      </x:c>
      <x:c r="W94" s="23" t="str"/>
    </x:row>
    <x:row r="95" ht="33" customHeight="1">
      <x:c r="A95" s="23" t="str">
        <x:v>ATL-10</x:v>
      </x:c>
      <x:c r="B95" s="23" t="str">
        <x:v>Atlanta Beltline Line Dance</x:v>
      </x:c>
      <x:c r="C95" s="23" t="str">
        <x:v>Atlanta</x:v>
      </x:c>
      <x:c r="D95" s="23" t="str">
        <x:v>Unknown</x:v>
      </x:c>
      <x:c r="E95" s="23" t="str">
        <x:v>Not discussed</x:v>
      </x:c>
      <x:c r="F95" s="23" t="str">
        <x:v>Not selected</x:v>
      </x:c>
      <x:c r="G95" s="24"/>
      <x:c r="H95" s="24"/>
      <x:c r="I95" s="23" t="str">
        <x:v>No</x:v>
      </x:c>
      <x:c r="J95" s="23" t="str">
        <x:v>No</x:v>
      </x:c>
      <x:c r="K95" s="23" t="str">
        <x:v>No</x:v>
      </x:c>
      <x:c r="L95" s="24"/>
      <x:c r="M95" s="25" t="str"/>
      <x:c r="N95" s="23" t="str">
        <x:v>No</x:v>
      </x:c>
      <x:c r="O95" s="24"/>
      <x:c r="P95" s="23" t="str">
        <x:v>No</x:v>
      </x:c>
      <x:c r="Q95" s="23" t="str">
        <x:v>No</x:v>
      </x:c>
      <x:c r="R95" s="23" t="str">
        <x:v>No</x:v>
      </x:c>
      <x:c r="S95" s="23" t="str">
        <x:v>Not started</x:v>
      </x:c>
      <x:c r="T95" s="25" t="str"/>
      <x:c r="U95" s="23" t="str">
        <x:v>Not started</x:v>
      </x:c>
      <x:c r="V95" s="23" t="str">
        <x:f>IF(S95="Published","Published",IF(Q95="Yes","Signed up",IF(K95="Yes","Content posted",IF(I95="Yes","Content received",IF(D95="Yes","Agreed",IF(D95="No","Declined","Not started"))))))</x:f>
        <x:v>Not started</x:v>
      </x:c>
      <x:c r="W95" s="23" t="str"/>
    </x:row>
    <x:row r="96" ht="33" customHeight="1">
      <x:c r="A96" s="23" t="str">
        <x:v>CLT-01</x:v>
      </x:c>
      <x:c r="B96" s="23" t="str">
        <x:v>Coyote Joe's Dance Lessons</x:v>
      </x:c>
      <x:c r="C96" s="23" t="str">
        <x:v>Charlotte</x:v>
      </x:c>
      <x:c r="D96" s="23" t="str">
        <x:v>Unknown</x:v>
      </x:c>
      <x:c r="E96" s="23" t="str">
        <x:v>Not discussed</x:v>
      </x:c>
      <x:c r="F96" s="23" t="str">
        <x:v>Not selected</x:v>
      </x:c>
      <x:c r="G96" s="24"/>
      <x:c r="H96" s="24"/>
      <x:c r="I96" s="23" t="str">
        <x:v>No</x:v>
      </x:c>
      <x:c r="J96" s="23" t="str">
        <x:v>No</x:v>
      </x:c>
      <x:c r="K96" s="23" t="str">
        <x:v>No</x:v>
      </x:c>
      <x:c r="L96" s="24"/>
      <x:c r="M96" s="25" t="str"/>
      <x:c r="N96" s="23" t="str">
        <x:v>No</x:v>
      </x:c>
      <x:c r="O96" s="24"/>
      <x:c r="P96" s="23" t="str">
        <x:v>No</x:v>
      </x:c>
      <x:c r="Q96" s="23" t="str">
        <x:v>No</x:v>
      </x:c>
      <x:c r="R96" s="23" t="str">
        <x:v>No</x:v>
      </x:c>
      <x:c r="S96" s="23" t="str">
        <x:v>Not started</x:v>
      </x:c>
      <x:c r="T96" s="25" t="str"/>
      <x:c r="U96" s="23" t="str">
        <x:v>Not started</x:v>
      </x:c>
      <x:c r="V96" s="23" t="str">
        <x:f>IF(S96="Published","Published",IF(Q96="Yes","Signed up",IF(K96="Yes","Content posted",IF(I96="Yes","Content received",IF(D96="Yes","Agreed",IF(D96="No","Declined","Not started"))))))</x:f>
        <x:v>Not started</x:v>
      </x:c>
      <x:c r="W96" s="23" t="str"/>
    </x:row>
    <x:row r="97" ht="33" customHeight="1">
      <x:c r="A97" s="23" t="str">
        <x:v>CLT-02</x:v>
      </x:c>
      <x:c r="B97" s="23" t="str">
        <x:v>Coyote Joe's and Bring the Fun</x:v>
      </x:c>
      <x:c r="C97" s="23" t="str">
        <x:v>Charlotte</x:v>
      </x:c>
      <x:c r="D97" s="23" t="str">
        <x:v>Unknown</x:v>
      </x:c>
      <x:c r="E97" s="23" t="str">
        <x:v>Not discussed</x:v>
      </x:c>
      <x:c r="F97" s="23" t="str">
        <x:v>Not selected</x:v>
      </x:c>
      <x:c r="G97" s="24"/>
      <x:c r="H97" s="24"/>
      <x:c r="I97" s="23" t="str">
        <x:v>No</x:v>
      </x:c>
      <x:c r="J97" s="23" t="str">
        <x:v>No</x:v>
      </x:c>
      <x:c r="K97" s="23" t="str">
        <x:v>No</x:v>
      </x:c>
      <x:c r="L97" s="24"/>
      <x:c r="M97" s="25" t="str"/>
      <x:c r="N97" s="23" t="str">
        <x:v>No</x:v>
      </x:c>
      <x:c r="O97" s="24"/>
      <x:c r="P97" s="23" t="str">
        <x:v>No</x:v>
      </x:c>
      <x:c r="Q97" s="23" t="str">
        <x:v>No</x:v>
      </x:c>
      <x:c r="R97" s="23" t="str">
        <x:v>No</x:v>
      </x:c>
      <x:c r="S97" s="23" t="str">
        <x:v>Not started</x:v>
      </x:c>
      <x:c r="T97" s="25" t="str"/>
      <x:c r="U97" s="23" t="str">
        <x:v>Not started</x:v>
      </x:c>
      <x:c r="V97" s="23" t="str">
        <x:f>IF(S97="Published","Published",IF(Q97="Yes","Signed up",IF(K97="Yes","Content posted",IF(I97="Yes","Content received",IF(D97="Yes","Agreed",IF(D97="No","Declined","Not started"))))))</x:f>
        <x:v>Not started</x:v>
      </x:c>
      <x:c r="W97" s="23" t="str"/>
    </x:row>
    <x:row r="98" ht="33" customHeight="1">
      <x:c r="A98" s="23" t="str">
        <x:v>CLT-03</x:v>
      </x:c>
      <x:c r="B98" s="23" t="str">
        <x:v>Bring the Fun</x:v>
      </x:c>
      <x:c r="C98" s="23" t="str">
        <x:v>Charlotte</x:v>
      </x:c>
      <x:c r="D98" s="23" t="str">
        <x:v>Unknown</x:v>
      </x:c>
      <x:c r="E98" s="23" t="str">
        <x:v>Not discussed</x:v>
      </x:c>
      <x:c r="F98" s="23" t="str">
        <x:v>Not selected</x:v>
      </x:c>
      <x:c r="G98" s="24"/>
      <x:c r="H98" s="24"/>
      <x:c r="I98" s="23" t="str">
        <x:v>No</x:v>
      </x:c>
      <x:c r="J98" s="23" t="str">
        <x:v>No</x:v>
      </x:c>
      <x:c r="K98" s="23" t="str">
        <x:v>No</x:v>
      </x:c>
      <x:c r="L98" s="24"/>
      <x:c r="M98" s="25" t="str"/>
      <x:c r="N98" s="23" t="str">
        <x:v>No</x:v>
      </x:c>
      <x:c r="O98" s="24"/>
      <x:c r="P98" s="23" t="str">
        <x:v>No</x:v>
      </x:c>
      <x:c r="Q98" s="23" t="str">
        <x:v>No</x:v>
      </x:c>
      <x:c r="R98" s="23" t="str">
        <x:v>No</x:v>
      </x:c>
      <x:c r="S98" s="23" t="str">
        <x:v>Not started</x:v>
      </x:c>
      <x:c r="T98" s="25" t="str"/>
      <x:c r="U98" s="23" t="str">
        <x:v>Not started</x:v>
      </x:c>
      <x:c r="V98" s="23" t="str">
        <x:f>IF(S98="Published","Published",IF(Q98="Yes","Signed up",IF(K98="Yes","Content posted",IF(I98="Yes","Content received",IF(D98="Yes","Agreed",IF(D98="No","Declined","Not started"))))))</x:f>
        <x:v>Not started</x:v>
      </x:c>
      <x:c r="W98" s="23" t="str"/>
    </x:row>
    <x:row r="99" ht="33" customHeight="1">
      <x:c r="A99" s="23" t="str">
        <x:v>CLT-04</x:v>
      </x:c>
      <x:c r="B99" s="23" t="str">
        <x:v>Live Love Line</x:v>
      </x:c>
      <x:c r="C99" s="23" t="str">
        <x:v>Charlotte</x:v>
      </x:c>
      <x:c r="D99" s="23" t="str">
        <x:v>Unknown</x:v>
      </x:c>
      <x:c r="E99" s="23" t="str">
        <x:v>Not discussed</x:v>
      </x:c>
      <x:c r="F99" s="23" t="str">
        <x:v>Not selected</x:v>
      </x:c>
      <x:c r="G99" s="24"/>
      <x:c r="H99" s="24"/>
      <x:c r="I99" s="23" t="str">
        <x:v>No</x:v>
      </x:c>
      <x:c r="J99" s="23" t="str">
        <x:v>No</x:v>
      </x:c>
      <x:c r="K99" s="23" t="str">
        <x:v>No</x:v>
      </x:c>
      <x:c r="L99" s="24"/>
      <x:c r="M99" s="25" t="str"/>
      <x:c r="N99" s="23" t="str">
        <x:v>No</x:v>
      </x:c>
      <x:c r="O99" s="24"/>
      <x:c r="P99" s="23" t="str">
        <x:v>No</x:v>
      </x:c>
      <x:c r="Q99" s="23" t="str">
        <x:v>No</x:v>
      </x:c>
      <x:c r="R99" s="23" t="str">
        <x:v>No</x:v>
      </x:c>
      <x:c r="S99" s="23" t="str">
        <x:v>Not started</x:v>
      </x:c>
      <x:c r="T99" s="25" t="str"/>
      <x:c r="U99" s="23" t="str">
        <x:v>Not started</x:v>
      </x:c>
      <x:c r="V99" s="23" t="str">
        <x:f>IF(S99="Published","Published",IF(Q99="Yes","Signed up",IF(K99="Yes","Content posted",IF(I99="Yes","Content received",IF(D99="Yes","Agreed",IF(D99="No","Declined","Not started"))))))</x:f>
        <x:v>Not started</x:v>
      </x:c>
      <x:c r="W99" s="23" t="str"/>
    </x:row>
    <x:row r="100" ht="33" customHeight="1">
      <x:c r="A100" s="23" t="str">
        <x:v>CLT-05</x:v>
      </x:c>
      <x:c r="B100" s="23" t="str">
        <x:v>Live Love Line</x:v>
      </x:c>
      <x:c r="C100" s="23" t="str">
        <x:v>Charlotte</x:v>
      </x:c>
      <x:c r="D100" s="23" t="str">
        <x:v>Unknown</x:v>
      </x:c>
      <x:c r="E100" s="23" t="str">
        <x:v>Not discussed</x:v>
      </x:c>
      <x:c r="F100" s="23" t="str">
        <x:v>Not selected</x:v>
      </x:c>
      <x:c r="G100" s="24"/>
      <x:c r="H100" s="24"/>
      <x:c r="I100" s="23" t="str">
        <x:v>No</x:v>
      </x:c>
      <x:c r="J100" s="23" t="str">
        <x:v>No</x:v>
      </x:c>
      <x:c r="K100" s="23" t="str">
        <x:v>No</x:v>
      </x:c>
      <x:c r="L100" s="24"/>
      <x:c r="M100" s="25" t="str"/>
      <x:c r="N100" s="23" t="str">
        <x:v>No</x:v>
      </x:c>
      <x:c r="O100" s="24"/>
      <x:c r="P100" s="23" t="str">
        <x:v>No</x:v>
      </x:c>
      <x:c r="Q100" s="23" t="str">
        <x:v>No</x:v>
      </x:c>
      <x:c r="R100" s="23" t="str">
        <x:v>No</x:v>
      </x:c>
      <x:c r="S100" s="23" t="str">
        <x:v>Not started</x:v>
      </x:c>
      <x:c r="T100" s="25" t="str"/>
      <x:c r="U100" s="23" t="str">
        <x:v>Not started</x:v>
      </x:c>
      <x:c r="V100" s="23" t="str">
        <x:f>IF(S100="Published","Published",IF(Q100="Yes","Signed up",IF(K100="Yes","Content posted",IF(I100="Yes","Content received",IF(D100="Yes","Agreed",IF(D100="No","Declined","Not started"))))))</x:f>
        <x:v>Not started</x:v>
      </x:c>
      <x:c r="W100" s="23" t="str"/>
    </x:row>
    <x:row r="101" ht="33" customHeight="1">
      <x:c r="A101" s="23" t="str">
        <x:v>CLT-06</x:v>
      </x:c>
      <x:c r="B101" s="23" t="str">
        <x:v>Line Dancing With Geraldine</x:v>
      </x:c>
      <x:c r="C101" s="23" t="str">
        <x:v>Charlotte</x:v>
      </x:c>
      <x:c r="D101" s="23" t="str">
        <x:v>Unknown</x:v>
      </x:c>
      <x:c r="E101" s="23" t="str">
        <x:v>Not discussed</x:v>
      </x:c>
      <x:c r="F101" s="23" t="str">
        <x:v>Not selected</x:v>
      </x:c>
      <x:c r="G101" s="24"/>
      <x:c r="H101" s="24"/>
      <x:c r="I101" s="23" t="str">
        <x:v>No</x:v>
      </x:c>
      <x:c r="J101" s="23" t="str">
        <x:v>No</x:v>
      </x:c>
      <x:c r="K101" s="23" t="str">
        <x:v>No</x:v>
      </x:c>
      <x:c r="L101" s="24"/>
      <x:c r="M101" s="25" t="str"/>
      <x:c r="N101" s="23" t="str">
        <x:v>No</x:v>
      </x:c>
      <x:c r="O101" s="24"/>
      <x:c r="P101" s="23" t="str">
        <x:v>No</x:v>
      </x:c>
      <x:c r="Q101" s="23" t="str">
        <x:v>No</x:v>
      </x:c>
      <x:c r="R101" s="23" t="str">
        <x:v>No</x:v>
      </x:c>
      <x:c r="S101" s="23" t="str">
        <x:v>Not started</x:v>
      </x:c>
      <x:c r="T101" s="25" t="str"/>
      <x:c r="U101" s="23" t="str">
        <x:v>Not started</x:v>
      </x:c>
      <x:c r="V101" s="23" t="str">
        <x:f>IF(S101="Published","Published",IF(Q101="Yes","Signed up",IF(K101="Yes","Content posted",IF(I101="Yes","Content received",IF(D101="Yes","Agreed",IF(D101="No","Declined","Not started"))))))</x:f>
        <x:v>Not started</x:v>
      </x:c>
      <x:c r="W101" s="23" t="str"/>
    </x:row>
    <x:row r="102" ht="33" customHeight="1">
      <x:c r="A102" s="23" t="str">
        <x:v>CLT-07</x:v>
      </x:c>
      <x:c r="B102" s="23" t="str">
        <x:v>BluSkyy Entertainment</x:v>
      </x:c>
      <x:c r="C102" s="23" t="str">
        <x:v>Charlotte</x:v>
      </x:c>
      <x:c r="D102" s="23" t="str">
        <x:v>Unknown</x:v>
      </x:c>
      <x:c r="E102" s="23" t="str">
        <x:v>Not discussed</x:v>
      </x:c>
      <x:c r="F102" s="23" t="str">
        <x:v>Not selected</x:v>
      </x:c>
      <x:c r="G102" s="24"/>
      <x:c r="H102" s="24"/>
      <x:c r="I102" s="23" t="str">
        <x:v>No</x:v>
      </x:c>
      <x:c r="J102" s="23" t="str">
        <x:v>No</x:v>
      </x:c>
      <x:c r="K102" s="23" t="str">
        <x:v>No</x:v>
      </x:c>
      <x:c r="L102" s="24"/>
      <x:c r="M102" s="25" t="str"/>
      <x:c r="N102" s="23" t="str">
        <x:v>No</x:v>
      </x:c>
      <x:c r="O102" s="24"/>
      <x:c r="P102" s="23" t="str">
        <x:v>No</x:v>
      </x:c>
      <x:c r="Q102" s="23" t="str">
        <x:v>No</x:v>
      </x:c>
      <x:c r="R102" s="23" t="str">
        <x:v>No</x:v>
      </x:c>
      <x:c r="S102" s="23" t="str">
        <x:v>Not started</x:v>
      </x:c>
      <x:c r="T102" s="25" t="str"/>
      <x:c r="U102" s="23" t="str">
        <x:v>Not started</x:v>
      </x:c>
      <x:c r="V102" s="23" t="str">
        <x:f>IF(S102="Published","Published",IF(Q102="Yes","Signed up",IF(K102="Yes","Content posted",IF(I102="Yes","Content received",IF(D102="Yes","Agreed",IF(D102="No","Declined","Not started"))))))</x:f>
        <x:v>Not started</x:v>
      </x:c>
      <x:c r="W102" s="23" t="str"/>
    </x:row>
    <x:row r="103" ht="33" customHeight="1">
      <x:c r="A103" s="23" t="str">
        <x:v>CLT-08</x:v>
      </x:c>
      <x:c r="B103" s="23" t="str">
        <x:v>The Lynn's Dance Club</x:v>
      </x:c>
      <x:c r="C103" s="23" t="str">
        <x:v>Charlotte</x:v>
      </x:c>
      <x:c r="D103" s="23" t="str">
        <x:v>Unknown</x:v>
      </x:c>
      <x:c r="E103" s="23" t="str">
        <x:v>Not discussed</x:v>
      </x:c>
      <x:c r="F103" s="23" t="str">
        <x:v>Not selected</x:v>
      </x:c>
      <x:c r="G103" s="24"/>
      <x:c r="H103" s="24"/>
      <x:c r="I103" s="23" t="str">
        <x:v>No</x:v>
      </x:c>
      <x:c r="J103" s="23" t="str">
        <x:v>No</x:v>
      </x:c>
      <x:c r="K103" s="23" t="str">
        <x:v>No</x:v>
      </x:c>
      <x:c r="L103" s="24"/>
      <x:c r="M103" s="25" t="str"/>
      <x:c r="N103" s="23" t="str">
        <x:v>No</x:v>
      </x:c>
      <x:c r="O103" s="24"/>
      <x:c r="P103" s="23" t="str">
        <x:v>No</x:v>
      </x:c>
      <x:c r="Q103" s="23" t="str">
        <x:v>No</x:v>
      </x:c>
      <x:c r="R103" s="23" t="str">
        <x:v>No</x:v>
      </x:c>
      <x:c r="S103" s="23" t="str">
        <x:v>Not started</x:v>
      </x:c>
      <x:c r="T103" s="25" t="str"/>
      <x:c r="U103" s="23" t="str">
        <x:v>Not started</x:v>
      </x:c>
      <x:c r="V103" s="23" t="str">
        <x:f>IF(S103="Published","Published",IF(Q103="Yes","Signed up",IF(K103="Yes","Content posted",IF(I103="Yes","Content received",IF(D103="Yes","Agreed",IF(D103="No","Declined","Not started"))))))</x:f>
        <x:v>Not started</x:v>
      </x:c>
      <x:c r="W103" s="23" t="str"/>
    </x:row>
    <x:row r="104" ht="33" customHeight="1">
      <x:c r="A104" s="23" t="str">
        <x:v>CLT-09</x:v>
      </x:c>
      <x:c r="B104" s="23" t="str">
        <x:v>Purple Charlotte Steppers Club</x:v>
      </x:c>
      <x:c r="C104" s="23" t="str">
        <x:v>Charlotte</x:v>
      </x:c>
      <x:c r="D104" s="23" t="str">
        <x:v>Unknown</x:v>
      </x:c>
      <x:c r="E104" s="23" t="str">
        <x:v>Not discussed</x:v>
      </x:c>
      <x:c r="F104" s="23" t="str">
        <x:v>Not selected</x:v>
      </x:c>
      <x:c r="G104" s="24"/>
      <x:c r="H104" s="24"/>
      <x:c r="I104" s="23" t="str">
        <x:v>No</x:v>
      </x:c>
      <x:c r="J104" s="23" t="str">
        <x:v>No</x:v>
      </x:c>
      <x:c r="K104" s="23" t="str">
        <x:v>No</x:v>
      </x:c>
      <x:c r="L104" s="24"/>
      <x:c r="M104" s="25" t="str"/>
      <x:c r="N104" s="23" t="str">
        <x:v>No</x:v>
      </x:c>
      <x:c r="O104" s="24"/>
      <x:c r="P104" s="23" t="str">
        <x:v>No</x:v>
      </x:c>
      <x:c r="Q104" s="23" t="str">
        <x:v>No</x:v>
      </x:c>
      <x:c r="R104" s="23" t="str">
        <x:v>No</x:v>
      </x:c>
      <x:c r="S104" s="23" t="str">
        <x:v>Not started</x:v>
      </x:c>
      <x:c r="T104" s="25" t="str"/>
      <x:c r="U104" s="23" t="str">
        <x:v>Not started</x:v>
      </x:c>
      <x:c r="V104" s="23" t="str">
        <x:f>IF(S104="Published","Published",IF(Q104="Yes","Signed up",IF(K104="Yes","Content posted",IF(I104="Yes","Content received",IF(D104="Yes","Agreed",IF(D104="No","Declined","Not started"))))))</x:f>
        <x:v>Not started</x:v>
      </x:c>
      <x:c r="W104" s="23" t="str"/>
    </x:row>
    <x:row r="105" ht="33" customHeight="1">
      <x:c r="A105" s="23" t="str">
        <x:v>CLT-10</x:v>
      </x:c>
      <x:c r="B105" s="23" t="str">
        <x:v>Dancing On The Go NC</x:v>
      </x:c>
      <x:c r="C105" s="23" t="str">
        <x:v>Charlotte</x:v>
      </x:c>
      <x:c r="D105" s="23" t="str">
        <x:v>Unknown</x:v>
      </x:c>
      <x:c r="E105" s="23" t="str">
        <x:v>Not discussed</x:v>
      </x:c>
      <x:c r="F105" s="23" t="str">
        <x:v>Not selected</x:v>
      </x:c>
      <x:c r="G105" s="24"/>
      <x:c r="H105" s="24"/>
      <x:c r="I105" s="23" t="str">
        <x:v>No</x:v>
      </x:c>
      <x:c r="J105" s="23" t="str">
        <x:v>No</x:v>
      </x:c>
      <x:c r="K105" s="23" t="str">
        <x:v>No</x:v>
      </x:c>
      <x:c r="L105" s="24"/>
      <x:c r="M105" s="25" t="str"/>
      <x:c r="N105" s="23" t="str">
        <x:v>No</x:v>
      </x:c>
      <x:c r="O105" s="24"/>
      <x:c r="P105" s="23" t="str">
        <x:v>No</x:v>
      </x:c>
      <x:c r="Q105" s="23" t="str">
        <x:v>No</x:v>
      </x:c>
      <x:c r="R105" s="23" t="str">
        <x:v>No</x:v>
      </x:c>
      <x:c r="S105" s="23" t="str">
        <x:v>Not started</x:v>
      </x:c>
      <x:c r="T105" s="25" t="str"/>
      <x:c r="U105" s="23" t="str">
        <x:v>Not started</x:v>
      </x:c>
      <x:c r="V105" s="23" t="str">
        <x:f>IF(S105="Published","Published",IF(Q105="Yes","Signed up",IF(K105="Yes","Content posted",IF(I105="Yes","Content received",IF(D105="Yes","Agreed",IF(D105="No","Declined","Not started"))))))</x:f>
        <x:v>Not started</x:v>
      </x:c>
      <x:c r="W105" s="23" t="str"/>
    </x:row>
    <x:row r="106" ht="33" customHeight="1">
      <x:c r="A106" s="23" t="str">
        <x:v>LAS-01</x:v>
      </x:c>
      <x:c r="B106" s="23" t="str">
        <x:v>Stoney's Rockin' Country</x:v>
      </x:c>
      <x:c r="C106" s="23" t="str">
        <x:v>Las Vegas</x:v>
      </x:c>
      <x:c r="D106" s="23" t="str">
        <x:v>Unknown</x:v>
      </x:c>
      <x:c r="E106" s="23" t="str">
        <x:v>Not discussed</x:v>
      </x:c>
      <x:c r="F106" s="23" t="str">
        <x:v>Not selected</x:v>
      </x:c>
      <x:c r="G106" s="24"/>
      <x:c r="H106" s="24"/>
      <x:c r="I106" s="23" t="str">
        <x:v>No</x:v>
      </x:c>
      <x:c r="J106" s="23" t="str">
        <x:v>No</x:v>
      </x:c>
      <x:c r="K106" s="23" t="str">
        <x:v>No</x:v>
      </x:c>
      <x:c r="L106" s="24"/>
      <x:c r="M106" s="25" t="str"/>
      <x:c r="N106" s="23" t="str">
        <x:v>No</x:v>
      </x:c>
      <x:c r="O106" s="24"/>
      <x:c r="P106" s="23" t="str">
        <x:v>No</x:v>
      </x:c>
      <x:c r="Q106" s="23" t="str">
        <x:v>No</x:v>
      </x:c>
      <x:c r="R106" s="23" t="str">
        <x:v>No</x:v>
      </x:c>
      <x:c r="S106" s="23" t="str">
        <x:v>Not started</x:v>
      </x:c>
      <x:c r="T106" s="25" t="str"/>
      <x:c r="U106" s="23" t="str">
        <x:v>Not started</x:v>
      </x:c>
      <x:c r="V106" s="23" t="str">
        <x:f>IF(S106="Published","Published",IF(Q106="Yes","Signed up",IF(K106="Yes","Content posted",IF(I106="Yes","Content received",IF(D106="Yes","Agreed",IF(D106="No","Declined","Not started"))))))</x:f>
        <x:v>Not started</x:v>
      </x:c>
      <x:c r="W106" s="23" t="str"/>
    </x:row>
    <x:row r="107" ht="33" customHeight="1">
      <x:c r="A107" s="23" t="str">
        <x:v>LAS-02</x:v>
      </x:c>
      <x:c r="B107" s="23" t="str">
        <x:v>Country Crossroads Dance</x:v>
      </x:c>
      <x:c r="C107" s="23" t="str">
        <x:v>Las Vegas</x:v>
      </x:c>
      <x:c r="D107" s="23" t="str">
        <x:v>Unknown</x:v>
      </x:c>
      <x:c r="E107" s="23" t="str">
        <x:v>Not discussed</x:v>
      </x:c>
      <x:c r="F107" s="23" t="str">
        <x:v>Not selected</x:v>
      </x:c>
      <x:c r="G107" s="24"/>
      <x:c r="H107" s="24"/>
      <x:c r="I107" s="23" t="str">
        <x:v>No</x:v>
      </x:c>
      <x:c r="J107" s="23" t="str">
        <x:v>No</x:v>
      </x:c>
      <x:c r="K107" s="23" t="str">
        <x:v>No</x:v>
      </x:c>
      <x:c r="L107" s="24"/>
      <x:c r="M107" s="25" t="str"/>
      <x:c r="N107" s="23" t="str">
        <x:v>No</x:v>
      </x:c>
      <x:c r="O107" s="24"/>
      <x:c r="P107" s="23" t="str">
        <x:v>No</x:v>
      </x:c>
      <x:c r="Q107" s="23" t="str">
        <x:v>No</x:v>
      </x:c>
      <x:c r="R107" s="23" t="str">
        <x:v>No</x:v>
      </x:c>
      <x:c r="S107" s="23" t="str">
        <x:v>Not started</x:v>
      </x:c>
      <x:c r="T107" s="25" t="str"/>
      <x:c r="U107" s="23" t="str">
        <x:v>Not started</x:v>
      </x:c>
      <x:c r="V107" s="23" t="str">
        <x:f>IF(S107="Published","Published",IF(Q107="Yes","Signed up",IF(K107="Yes","Content posted",IF(I107="Yes","Content received",IF(D107="Yes","Agreed",IF(D107="No","Declined","Not started"))))))</x:f>
        <x:v>Not started</x:v>
      </x:c>
      <x:c r="W107" s="23" t="str"/>
    </x:row>
    <x:row r="108" ht="33" customHeight="1">
      <x:c r="A108" s="23" t="str">
        <x:v>LAS-03</x:v>
      </x:c>
      <x:c r="B108" s="23" t="str">
        <x:v>Country Crossroads Dance</x:v>
      </x:c>
      <x:c r="C108" s="23" t="str">
        <x:v>Las Vegas</x:v>
      </x:c>
      <x:c r="D108" s="23" t="str">
        <x:v>Unknown</x:v>
      </x:c>
      <x:c r="E108" s="23" t="str">
        <x:v>Not discussed</x:v>
      </x:c>
      <x:c r="F108" s="23" t="str">
        <x:v>Not selected</x:v>
      </x:c>
      <x:c r="G108" s="24"/>
      <x:c r="H108" s="24"/>
      <x:c r="I108" s="23" t="str">
        <x:v>No</x:v>
      </x:c>
      <x:c r="J108" s="23" t="str">
        <x:v>No</x:v>
      </x:c>
      <x:c r="K108" s="23" t="str">
        <x:v>No</x:v>
      </x:c>
      <x:c r="L108" s="24"/>
      <x:c r="M108" s="25" t="str"/>
      <x:c r="N108" s="23" t="str">
        <x:v>No</x:v>
      </x:c>
      <x:c r="O108" s="24"/>
      <x:c r="P108" s="23" t="str">
        <x:v>No</x:v>
      </x:c>
      <x:c r="Q108" s="23" t="str">
        <x:v>No</x:v>
      </x:c>
      <x:c r="R108" s="23" t="str">
        <x:v>No</x:v>
      </x:c>
      <x:c r="S108" s="23" t="str">
        <x:v>Not started</x:v>
      </x:c>
      <x:c r="T108" s="25" t="str"/>
      <x:c r="U108" s="23" t="str">
        <x:v>Not started</x:v>
      </x:c>
      <x:c r="V108" s="23" t="str">
        <x:f>IF(S108="Published","Published",IF(Q108="Yes","Signed up",IF(K108="Yes","Content posted",IF(I108="Yes","Content received",IF(D108="Yes","Agreed",IF(D108="No","Declined","Not started"))))))</x:f>
        <x:v>Not started</x:v>
      </x:c>
      <x:c r="W108" s="23" t="str"/>
    </x:row>
    <x:row r="109" ht="33" customHeight="1">
      <x:c r="A109" s="23" t="str">
        <x:v>LAS-04</x:v>
      </x:c>
      <x:c r="B109" s="23" t="str">
        <x:v>Vegas Dance Explosion</x:v>
      </x:c>
      <x:c r="C109" s="23" t="str">
        <x:v>Las Vegas</x:v>
      </x:c>
      <x:c r="D109" s="23" t="str">
        <x:v>Unknown</x:v>
      </x:c>
      <x:c r="E109" s="23" t="str">
        <x:v>Not discussed</x:v>
      </x:c>
      <x:c r="F109" s="23" t="str">
        <x:v>Not selected</x:v>
      </x:c>
      <x:c r="G109" s="24"/>
      <x:c r="H109" s="24"/>
      <x:c r="I109" s="23" t="str">
        <x:v>No</x:v>
      </x:c>
      <x:c r="J109" s="23" t="str">
        <x:v>No</x:v>
      </x:c>
      <x:c r="K109" s="23" t="str">
        <x:v>No</x:v>
      </x:c>
      <x:c r="L109" s="24"/>
      <x:c r="M109" s="25" t="str"/>
      <x:c r="N109" s="23" t="str">
        <x:v>No</x:v>
      </x:c>
      <x:c r="O109" s="24"/>
      <x:c r="P109" s="23" t="str">
        <x:v>No</x:v>
      </x:c>
      <x:c r="Q109" s="23" t="str">
        <x:v>No</x:v>
      </x:c>
      <x:c r="R109" s="23" t="str">
        <x:v>No</x:v>
      </x:c>
      <x:c r="S109" s="23" t="str">
        <x:v>Not started</x:v>
      </x:c>
      <x:c r="T109" s="25" t="str"/>
      <x:c r="U109" s="23" t="str">
        <x:v>Not started</x:v>
      </x:c>
      <x:c r="V109" s="23" t="str">
        <x:f>IF(S109="Published","Published",IF(Q109="Yes","Signed up",IF(K109="Yes","Content posted",IF(I109="Yes","Content received",IF(D109="Yes","Agreed",IF(D109="No","Declined","Not started"))))))</x:f>
        <x:v>Not started</x:v>
      </x:c>
      <x:c r="W109" s="23" t="str"/>
    </x:row>
    <x:row r="110" ht="33" customHeight="1">
      <x:c r="A110" s="23" t="str">
        <x:v>LAS-05</x:v>
      </x:c>
      <x:c r="B110" s="23" t="str">
        <x:v>Vegas Dance Explosion</x:v>
      </x:c>
      <x:c r="C110" s="23" t="str">
        <x:v>Las Vegas</x:v>
      </x:c>
      <x:c r="D110" s="23" t="str">
        <x:v>Unknown</x:v>
      </x:c>
      <x:c r="E110" s="23" t="str">
        <x:v>Not discussed</x:v>
      </x:c>
      <x:c r="F110" s="23" t="str">
        <x:v>Not selected</x:v>
      </x:c>
      <x:c r="G110" s="24"/>
      <x:c r="H110" s="24"/>
      <x:c r="I110" s="23" t="str">
        <x:v>No</x:v>
      </x:c>
      <x:c r="J110" s="23" t="str">
        <x:v>No</x:v>
      </x:c>
      <x:c r="K110" s="23" t="str">
        <x:v>No</x:v>
      </x:c>
      <x:c r="L110" s="24"/>
      <x:c r="M110" s="25" t="str"/>
      <x:c r="N110" s="23" t="str">
        <x:v>No</x:v>
      </x:c>
      <x:c r="O110" s="24"/>
      <x:c r="P110" s="23" t="str">
        <x:v>No</x:v>
      </x:c>
      <x:c r="Q110" s="23" t="str">
        <x:v>No</x:v>
      </x:c>
      <x:c r="R110" s="23" t="str">
        <x:v>No</x:v>
      </x:c>
      <x:c r="S110" s="23" t="str">
        <x:v>Not started</x:v>
      </x:c>
      <x:c r="T110" s="25" t="str"/>
      <x:c r="U110" s="23" t="str">
        <x:v>Not started</x:v>
      </x:c>
      <x:c r="V110" s="23" t="str">
        <x:f>IF(S110="Published","Published",IF(Q110="Yes","Signed up",IF(K110="Yes","Content posted",IF(I110="Yes","Content received",IF(D110="Yes","Agreed",IF(D110="No","Declined","Not started"))))))</x:f>
        <x:v>Not started</x:v>
      </x:c>
      <x:c r="W110" s="23" t="str"/>
    </x:row>
    <x:row r="111" ht="33" customHeight="1">
      <x:c r="A111" s="23" t="str">
        <x:v>LAS-06</x:v>
      </x:c>
      <x:c r="B111" s="23" t="str">
        <x:v>Z!nG David MC</x:v>
      </x:c>
      <x:c r="C111" s="23" t="str">
        <x:v>Las Vegas</x:v>
      </x:c>
      <x:c r="D111" s="23" t="str">
        <x:v>Unknown</x:v>
      </x:c>
      <x:c r="E111" s="23" t="str">
        <x:v>Not discussed</x:v>
      </x:c>
      <x:c r="F111" s="23" t="str">
        <x:v>Not selected</x:v>
      </x:c>
      <x:c r="G111" s="24"/>
      <x:c r="H111" s="24"/>
      <x:c r="I111" s="23" t="str">
        <x:v>No</x:v>
      </x:c>
      <x:c r="J111" s="23" t="str">
        <x:v>No</x:v>
      </x:c>
      <x:c r="K111" s="23" t="str">
        <x:v>No</x:v>
      </x:c>
      <x:c r="L111" s="24"/>
      <x:c r="M111" s="25" t="str"/>
      <x:c r="N111" s="23" t="str">
        <x:v>No</x:v>
      </x:c>
      <x:c r="O111" s="24"/>
      <x:c r="P111" s="23" t="str">
        <x:v>No</x:v>
      </x:c>
      <x:c r="Q111" s="23" t="str">
        <x:v>No</x:v>
      </x:c>
      <x:c r="R111" s="23" t="str">
        <x:v>No</x:v>
      </x:c>
      <x:c r="S111" s="23" t="str">
        <x:v>Not started</x:v>
      </x:c>
      <x:c r="T111" s="25" t="str"/>
      <x:c r="U111" s="23" t="str">
        <x:v>Not started</x:v>
      </x:c>
      <x:c r="V111" s="23" t="str">
        <x:f>IF(S111="Published","Published",IF(Q111="Yes","Signed up",IF(K111="Yes","Content posted",IF(I111="Yes","Content received",IF(D111="Yes","Agreed",IF(D111="No","Declined","Not started"))))))</x:f>
        <x:v>Not started</x:v>
      </x:c>
      <x:c r="W111" s="23" t="str"/>
    </x:row>
    <x:row r="112" ht="33" customHeight="1">
      <x:c r="A112" s="23" t="str">
        <x:v>LAS-07</x:v>
      </x:c>
      <x:c r="B112" s="23" t="str">
        <x:v>Boulder City Parks and Recreation</x:v>
      </x:c>
      <x:c r="C112" s="23" t="str">
        <x:v>Las Vegas</x:v>
      </x:c>
      <x:c r="D112" s="23" t="str">
        <x:v>Unknown</x:v>
      </x:c>
      <x:c r="E112" s="23" t="str">
        <x:v>Not discussed</x:v>
      </x:c>
      <x:c r="F112" s="23" t="str">
        <x:v>Not selected</x:v>
      </x:c>
      <x:c r="G112" s="24"/>
      <x:c r="H112" s="24"/>
      <x:c r="I112" s="23" t="str">
        <x:v>No</x:v>
      </x:c>
      <x:c r="J112" s="23" t="str">
        <x:v>No</x:v>
      </x:c>
      <x:c r="K112" s="23" t="str">
        <x:v>No</x:v>
      </x:c>
      <x:c r="L112" s="24"/>
      <x:c r="M112" s="25" t="str"/>
      <x:c r="N112" s="23" t="str">
        <x:v>No</x:v>
      </x:c>
      <x:c r="O112" s="24"/>
      <x:c r="P112" s="23" t="str">
        <x:v>No</x:v>
      </x:c>
      <x:c r="Q112" s="23" t="str">
        <x:v>No</x:v>
      </x:c>
      <x:c r="R112" s="23" t="str">
        <x:v>No</x:v>
      </x:c>
      <x:c r="S112" s="23" t="str">
        <x:v>Not started</x:v>
      </x:c>
      <x:c r="T112" s="25" t="str"/>
      <x:c r="U112" s="23" t="str">
        <x:v>Not started</x:v>
      </x:c>
      <x:c r="V112" s="23" t="str">
        <x:f>IF(S112="Published","Published",IF(Q112="Yes","Signed up",IF(K112="Yes","Content posted",IF(I112="Yes","Content received",IF(D112="Yes","Agreed",IF(D112="No","Declined","Not started"))))))</x:f>
        <x:v>Not started</x:v>
      </x:c>
      <x:c r="W112" s="23" t="str"/>
    </x:row>
    <x:row r="113" ht="33" customHeight="1">
      <x:c r="A113" s="23" t="str">
        <x:v>LAS-08</x:v>
      </x:c>
      <x:c r="B113" s="23" t="str">
        <x:v>SkyView YMCA North Las Vegas</x:v>
      </x:c>
      <x:c r="C113" s="23" t="str">
        <x:v>Las Vegas</x:v>
      </x:c>
      <x:c r="D113" s="23" t="str">
        <x:v>Unknown</x:v>
      </x:c>
      <x:c r="E113" s="23" t="str">
        <x:v>Not discussed</x:v>
      </x:c>
      <x:c r="F113" s="23" t="str">
        <x:v>Not selected</x:v>
      </x:c>
      <x:c r="G113" s="24"/>
      <x:c r="H113" s="24"/>
      <x:c r="I113" s="23" t="str">
        <x:v>No</x:v>
      </x:c>
      <x:c r="J113" s="23" t="str">
        <x:v>No</x:v>
      </x:c>
      <x:c r="K113" s="23" t="str">
        <x:v>No</x:v>
      </x:c>
      <x:c r="L113" s="24"/>
      <x:c r="M113" s="25" t="str"/>
      <x:c r="N113" s="23" t="str">
        <x:v>No</x:v>
      </x:c>
      <x:c r="O113" s="24"/>
      <x:c r="P113" s="23" t="str">
        <x:v>No</x:v>
      </x:c>
      <x:c r="Q113" s="23" t="str">
        <x:v>No</x:v>
      </x:c>
      <x:c r="R113" s="23" t="str">
        <x:v>No</x:v>
      </x:c>
      <x:c r="S113" s="23" t="str">
        <x:v>Not started</x:v>
      </x:c>
      <x:c r="T113" s="25" t="str"/>
      <x:c r="U113" s="23" t="str">
        <x:v>Not started</x:v>
      </x:c>
      <x:c r="V113" s="23" t="str">
        <x:f>IF(S113="Published","Published",IF(Q113="Yes","Signed up",IF(K113="Yes","Content posted",IF(I113="Yes","Content received",IF(D113="Yes","Agreed",IF(D113="No","Declined","Not started"))))))</x:f>
        <x:v>Not started</x:v>
      </x:c>
      <x:c r="W113" s="23" t="str"/>
    </x:row>
    <x:row r="114" ht="33" customHeight="1">
      <x:c r="A114" s="23" t="str">
        <x:v>LAS-09</x:v>
      </x:c>
      <x:c r="B114" s="23" t="str">
        <x:v>Viva Tequila Las Vegas</x:v>
      </x:c>
      <x:c r="C114" s="23" t="str">
        <x:v>Las Vegas</x:v>
      </x:c>
      <x:c r="D114" s="23" t="str">
        <x:v>Unknown</x:v>
      </x:c>
      <x:c r="E114" s="23" t="str">
        <x:v>Not discussed</x:v>
      </x:c>
      <x:c r="F114" s="23" t="str">
        <x:v>Not selected</x:v>
      </x:c>
      <x:c r="G114" s="24"/>
      <x:c r="H114" s="24"/>
      <x:c r="I114" s="23" t="str">
        <x:v>No</x:v>
      </x:c>
      <x:c r="J114" s="23" t="str">
        <x:v>No</x:v>
      </x:c>
      <x:c r="K114" s="23" t="str">
        <x:v>No</x:v>
      </x:c>
      <x:c r="L114" s="24"/>
      <x:c r="M114" s="25" t="str"/>
      <x:c r="N114" s="23" t="str">
        <x:v>No</x:v>
      </x:c>
      <x:c r="O114" s="24"/>
      <x:c r="P114" s="23" t="str">
        <x:v>No</x:v>
      </x:c>
      <x:c r="Q114" s="23" t="str">
        <x:v>No</x:v>
      </x:c>
      <x:c r="R114" s="23" t="str">
        <x:v>No</x:v>
      </x:c>
      <x:c r="S114" s="23" t="str">
        <x:v>Not started</x:v>
      </x:c>
      <x:c r="T114" s="25" t="str"/>
      <x:c r="U114" s="23" t="str">
        <x:v>Not started</x:v>
      </x:c>
      <x:c r="V114" s="23" t="str">
        <x:f>IF(S114="Published","Published",IF(Q114="Yes","Signed up",IF(K114="Yes","Content posted",IF(I114="Yes","Content received",IF(D114="Yes","Agreed",IF(D114="No","Declined","Not started"))))))</x:f>
        <x:v>Not started</x:v>
      </x:c>
      <x:c r="W114" s="23" t="str"/>
    </x:row>
    <x:row r="115" ht="33" customHeight="1">
      <x:c r="A115" s="23" t="str">
        <x:v>LAS-10</x:v>
      </x:c>
      <x:c r="B115" s="23" t="str">
        <x:v>Boot Scootin' Line Dance</x:v>
      </x:c>
      <x:c r="C115" s="23" t="str">
        <x:v>Las Vegas</x:v>
      </x:c>
      <x:c r="D115" s="23" t="str">
        <x:v>Unknown</x:v>
      </x:c>
      <x:c r="E115" s="23" t="str">
        <x:v>Not discussed</x:v>
      </x:c>
      <x:c r="F115" s="23" t="str">
        <x:v>Not selected</x:v>
      </x:c>
      <x:c r="G115" s="24"/>
      <x:c r="H115" s="24"/>
      <x:c r="I115" s="23" t="str">
        <x:v>No</x:v>
      </x:c>
      <x:c r="J115" s="23" t="str">
        <x:v>No</x:v>
      </x:c>
      <x:c r="K115" s="23" t="str">
        <x:v>No</x:v>
      </x:c>
      <x:c r="L115" s="24"/>
      <x:c r="M115" s="25" t="str"/>
      <x:c r="N115" s="23" t="str">
        <x:v>No</x:v>
      </x:c>
      <x:c r="O115" s="24"/>
      <x:c r="P115" s="23" t="str">
        <x:v>No</x:v>
      </x:c>
      <x:c r="Q115" s="23" t="str">
        <x:v>No</x:v>
      </x:c>
      <x:c r="R115" s="23" t="str">
        <x:v>No</x:v>
      </x:c>
      <x:c r="S115" s="23" t="str">
        <x:v>Not started</x:v>
      </x:c>
      <x:c r="T115" s="25" t="str"/>
      <x:c r="U115" s="23" t="str">
        <x:v>Not started</x:v>
      </x:c>
      <x:c r="V115" s="23" t="str">
        <x:f>IF(S115="Published","Published",IF(Q115="Yes","Signed up",IF(K115="Yes","Content posted",IF(I115="Yes","Content received",IF(D115="Yes","Agreed",IF(D115="No","Declined","Not started"))))))</x:f>
        <x:v>Not started</x:v>
      </x:c>
      <x:c r="W115" s="23" t="str"/>
    </x:row>
  </x:sheetData>
  <x:mergeCells>
    <x:mergeCell ref="A1:W1"/>
    <x:mergeCell ref="A2:W2"/>
    <x:mergeCell ref="A3:W3"/>
  </x:mergeCells>
  <x:conditionalFormatting sqref="V6:V205">
    <x:cfRule type="containsText" dxfId="7" priority="1" operator="containsText" text="Published"/>
    <x:cfRule type="containsText" dxfId="8" priority="2" operator="containsText" text="Signed up"/>
    <x:cfRule type="containsText" dxfId="9" priority="3" operator="containsText" text="Declined"/>
  </x:conditionalFormatting>
  <x:dataValidations count="12">
    <x:dataValidation type="list" sqref="D6:D205">
      <x:formula1>'Workflow &amp; Lists'!$J$5:$J$8</x:formula1>
    </x:dataValidation>
    <x:dataValidation type="list" sqref="E6:E205">
      <x:formula1>'Workflow &amp; Lists'!$L$5:$L$9</x:formula1>
    </x:dataValidation>
    <x:dataValidation type="list" sqref="F6:F205">
      <x:formula1>'Workflow &amp; Lists'!$M$5:$M$11</x:formula1>
    </x:dataValidation>
    <x:dataValidation type="list" sqref="I6:I205">
      <x:formula1>'Workflow &amp; Lists'!$K$5:$K$6</x:formula1>
    </x:dataValidation>
    <x:dataValidation type="list" sqref="J6:J205">
      <x:formula1>'Workflow &amp; Lists'!$K$5:$K$6</x:formula1>
    </x:dataValidation>
    <x:dataValidation type="list" sqref="K6:K205">
      <x:formula1>'Workflow &amp; Lists'!$K$5:$K$6</x:formula1>
    </x:dataValidation>
    <x:dataValidation type="list" sqref="N6:N205">
      <x:formula1>'Workflow &amp; Lists'!$K$5:$K$6</x:formula1>
    </x:dataValidation>
    <x:dataValidation type="list" sqref="P6:P205">
      <x:formula1>'Workflow &amp; Lists'!$K$5:$K$6</x:formula1>
    </x:dataValidation>
    <x:dataValidation type="list" sqref="Q6:Q205">
      <x:formula1>'Workflow &amp; Lists'!$K$5:$K$6</x:formula1>
    </x:dataValidation>
    <x:dataValidation type="list" sqref="R6:R205">
      <x:formula1>'Workflow &amp; Lists'!$K$5:$K$6</x:formula1>
    </x:dataValidation>
    <x:dataValidation type="list" sqref="S6:S205">
      <x:formula1>'Workflow &amp; Lists'!$N$5:$N$12</x:formula1>
    </x:dataValidation>
    <x:dataValidation type="list" sqref="U6:U205">
      <x:formula1>'Workflow &amp; Lists'!$H$17:$H$22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ca9e8f25042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5.78000020980835" hidden="0" customWidth="1"/>
    <x:col min="3" max="3" width="9.779999732971191" hidden="0" customWidth="1"/>
    <x:col min="4" max="4" width="11.109999656677246" hidden="0" customWidth="1"/>
    <x:col min="5" max="5" width="8.670000076293945" hidden="0" customWidth="1"/>
    <x:col min="6" max="6" width="8.670000076293945" hidden="0" customWidth="1"/>
    <x:col min="7" max="7" width="7.559999942779541" hidden="0" customWidth="1"/>
    <x:col min="8" max="8" width="10.5600004196167" hidden="0" customWidth="1"/>
    <x:col min="9" max="9" width="8.670000076293945" hidden="0" customWidth="1"/>
    <x:col min="10" max="10" width="8.670000076293945" hidden="0" customWidth="1"/>
    <x:col min="11" max="11" width="11.670000076293945" hidden="0" customWidth="1"/>
    <x:col min="12" max="12" width="34.439998626708984" hidden="0" customWidth="1"/>
    <x:col min="13" max="13" width="24.440000534057617" hidden="0" customWidth="1"/>
  </x:cols>
  <x:sheetData>
    <x:row r="1" ht="30" customHeight="1">
      <x:c r="A1" s="4" t="str">
        <x:v>Launch Region Coverage</x:v>
      </x:c>
      <x:c r="B1" s="4" t="str">
        <x:v>Launch Region Coverage</x:v>
      </x:c>
      <x:c r="C1" s="4" t="str">
        <x:v>Launch Region Coverage</x:v>
      </x:c>
      <x:c r="D1" s="4" t="str">
        <x:v>Launch Region Coverage</x:v>
      </x:c>
      <x:c r="E1" s="4" t="str">
        <x:v>Launch Region Coverage</x:v>
      </x:c>
      <x:c r="F1" s="4" t="str">
        <x:v>Launch Region Coverage</x:v>
      </x:c>
      <x:c r="G1" s="4" t="str">
        <x:v>Launch Region Coverage</x:v>
      </x:c>
      <x:c r="H1" s="4" t="str">
        <x:v>Launch Region Coverage</x:v>
      </x:c>
      <x:c r="I1" s="4" t="str">
        <x:v>Launch Region Coverage</x:v>
      </x:c>
      <x:c r="J1" s="4" t="str">
        <x:v>Launch Region Coverage</x:v>
      </x:c>
      <x:c r="K1" s="4" t="str">
        <x:v>Launch Region Coverage</x:v>
      </x:c>
      <x:c r="L1" s="4" t="str">
        <x:v>Launch Region Coverage</x:v>
      </x:c>
      <x:c r="M1" s="4" t="str">
        <x:v>Launch Region Coverage</x:v>
      </x:c>
    </x:row>
    <x:row r="2" ht="22.5" customHeight="1">
      <x:c r="A2" s="8" t="str">
        <x:v>Targets are planning guides. Research counts update from the pipeline; activity and outcomes update after you record outreach and signup milestones.</x:v>
      </x:c>
      <x:c r="B2" s="8" t="str">
        <x:v>Targets are planning guides. Research counts update from the pipeline; activity and outcomes update after you record outreach and signup milestones.</x:v>
      </x:c>
      <x:c r="C2" s="8" t="str">
        <x:v>Targets are planning guides. Research counts update from the pipeline; activity and outcomes update after you record outreach and signup milestones.</x:v>
      </x:c>
      <x:c r="D2" s="8" t="str">
        <x:v>Targets are planning guides. Research counts update from the pipeline; activity and outcomes update after you record outreach and signup milestones.</x:v>
      </x:c>
      <x:c r="E2" s="8" t="str">
        <x:v>Targets are planning guides. Research counts update from the pipeline; activity and outcomes update after you record outreach and signup milestones.</x:v>
      </x:c>
      <x:c r="F2" s="8" t="str">
        <x:v>Targets are planning guides. Research counts update from the pipeline; activity and outcomes update after you record outreach and signup milestones.</x:v>
      </x:c>
      <x:c r="G2" s="8" t="str">
        <x:v>Targets are planning guides. Research counts update from the pipeline; activity and outcomes update after you record outreach and signup milestones.</x:v>
      </x:c>
      <x:c r="H2" s="8" t="str">
        <x:v>Targets are planning guides. Research counts update from the pipeline; activity and outcomes update after you record outreach and signup milestones.</x:v>
      </x:c>
      <x:c r="I2" s="8" t="str">
        <x:v>Targets are planning guides. Research counts update from the pipeline; activity and outcomes update after you record outreach and signup milestones.</x:v>
      </x:c>
      <x:c r="J2" s="8" t="str">
        <x:v>Targets are planning guides. Research counts update from the pipeline; activity and outcomes update after you record outreach and signup milestones.</x:v>
      </x:c>
      <x:c r="K2" s="8" t="str">
        <x:v>Targets are planning guides. Research counts update from the pipeline; activity and outcomes update after you record outreach and signup milestones.</x:v>
      </x:c>
      <x:c r="L2" s="8" t="str">
        <x:v>Targets are planning guides. Research counts update from the pipeline; activity and outcomes update after you record outreach and signup milestones.</x:v>
      </x:c>
      <x:c r="M2" s="8" t="str">
        <x:v>Targets are planning guides. Research counts update from the pipeline; activity and outcomes update after you record outreach and signup milestones.</x:v>
      </x:c>
    </x:row>
    <x:row r="3" ht="22.5" customHeight="1">
      <x:c r="A3" s="12" t="str">
        <x:v>Coverage goal: build a credible local bench in every launch market, then deepen the regions that show buyer and instructor response.</x:v>
      </x:c>
      <x:c r="B3" s="12" t="str">
        <x:v>Coverage goal: build a credible local bench in every launch market, then deepen the regions that show buyer and instructor response.</x:v>
      </x:c>
      <x:c r="C3" s="12" t="str">
        <x:v>Coverage goal: build a credible local bench in every launch market, then deepen the regions that show buyer and instructor response.</x:v>
      </x:c>
      <x:c r="D3" s="12" t="str">
        <x:v>Coverage goal: build a credible local bench in every launch market, then deepen the regions that show buyer and instructor response.</x:v>
      </x:c>
      <x:c r="E3" s="12" t="str">
        <x:v>Coverage goal: build a credible local bench in every launch market, then deepen the regions that show buyer and instructor response.</x:v>
      </x:c>
      <x:c r="F3" s="12" t="str">
        <x:v>Coverage goal: build a credible local bench in every launch market, then deepen the regions that show buyer and instructor response.</x:v>
      </x:c>
      <x:c r="G3" s="12" t="str">
        <x:v>Coverage goal: build a credible local bench in every launch market, then deepen the regions that show buyer and instructor response.</x:v>
      </x:c>
      <x:c r="H3" s="12" t="str">
        <x:v>Coverage goal: build a credible local bench in every launch market, then deepen the regions that show buyer and instructor response.</x:v>
      </x:c>
      <x:c r="I3" s="12" t="str">
        <x:v>Coverage goal: build a credible local bench in every launch market, then deepen the regions that show buyer and instructor response.</x:v>
      </x:c>
      <x:c r="J3" s="12" t="str">
        <x:v>Coverage goal: build a credible local bench in every launch market, then deepen the regions that show buyer and instructor response.</x:v>
      </x:c>
      <x:c r="K3" s="12" t="str">
        <x:v>Coverage goal: build a credible local bench in every launch market, then deepen the regions that show buyer and instructor response.</x:v>
      </x:c>
      <x:c r="L3" s="12" t="str">
        <x:v>Coverage goal: build a credible local bench in every launch market, then deepen the regions that show buyer and instructor response.</x:v>
      </x:c>
      <x:c r="M3" s="12" t="str">
        <x:v>Coverage goal: build a credible local bench in every launch market, then deepen the regions that show buyer and instructor response.</x:v>
      </x:c>
    </x:row>
    <x:row r="5" ht="25.5" customHeight="1">
      <x:c r="A5" s="18" t="str">
        <x:v>Region</x:v>
      </x:c>
      <x:c r="B5" s="18" t="str">
        <x:v>State</x:v>
      </x:c>
      <x:c r="C5" s="18" t="str">
        <x:v>Market priority</x:v>
      </x:c>
      <x:c r="D5" s="18" t="str">
        <x:v>Target prospects</x:v>
      </x:c>
      <x:c r="E5" s="18" t="str">
        <x:v>Researched</x:v>
      </x:c>
      <x:c r="F5" s="18" t="str">
        <x:v>Contacted</x:v>
      </x:c>
      <x:c r="G5" s="18" t="str">
        <x:v>Agreed</x:v>
      </x:c>
      <x:c r="H5" s="18" t="str">
        <x:v>Content posted</x:v>
      </x:c>
      <x:c r="I5" s="18" t="str">
        <x:v>Signed up</x:v>
      </x:c>
      <x:c r="J5" s="18" t="str">
        <x:v>Published</x:v>
      </x:c>
      <x:c r="K5" s="18" t="str">
        <x:v>Remaining target</x:v>
      </x:c>
      <x:c r="L5" s="18" t="str">
        <x:v>Next market move</x:v>
      </x:c>
      <x:c r="M5" s="18" t="str">
        <x:v>City page URL</x:v>
      </x:c>
    </x:row>
    <x:row r="6" ht="36" customHeight="1">
      <x:c r="A6" s="23" t="str">
        <x:v>Nashville</x:v>
      </x:c>
      <x:c r="B6" s="23" t="str">
        <x:v>TN</x:v>
      </x:c>
      <x:c r="C6" s="23" t="str">
        <x:v>P1</x:v>
      </x:c>
      <x:c r="D6" s="23" t="n">
        <x:v>10</x:v>
      </x:c>
      <x:c r="E6" s="23" t="n">
        <x:f>COUNTIF('Instructor Pipeline'!$D$6:$D$115,A6)</x:f>
        <x:v>10</x:v>
      </x:c>
      <x:c r="F6" s="23" t="n">
        <x:f>COUNTIFS('Instructor Pipeline'!$D$6:$D$115,A6,'Instructor Pipeline'!$T$6:$T$115,"&lt;&gt;")</x:f>
        <x:v>0</x:v>
      </x:c>
      <x:c r="G6" s="23" t="n">
        <x:f>COUNTIFS('Instructor Pipeline'!$D$6:$D$115,A6,'Instructor Pipeline'!$Y$6:$Y$115,"Yes")</x:f>
        <x:v>0</x:v>
      </x:c>
      <x:c r="H6" s="23" t="n">
        <x:f>COUNTIFS('Content &amp; Signup'!$C$6:$C$115,A6,'Content &amp; Signup'!$K$6:$K$115,"Yes")</x:f>
        <x:v>0</x:v>
      </x:c>
      <x:c r="I6" s="23" t="n">
        <x:f>COUNTIFS('Content &amp; Signup'!$C$6:$C$115,A6,'Content &amp; Signup'!$Q$6:$Q$115,"Yes")</x:f>
        <x:v>0</x:v>
      </x:c>
      <x:c r="J6" s="23" t="n">
        <x:f>COUNTIFS('Content &amp; Signup'!$C$6:$C$115,A6,'Content &amp; Signup'!$S$6:$S$115,"Published")</x:f>
        <x:v>0</x:v>
      </x:c>
      <x:c r="K6" s="23" t="n">
        <x:f>MAX(0,D6-E6)</x:f>
        <x:v>0</x:v>
      </x:c>
      <x:c r="L6" s="23" t="str">
        <x:v>Start with Kyle Erickson, Tabbi, and Em Downs, then work through direct-email teams.</x:v>
      </x:c>
      <x:c r="M6" s="25" t="str">
        <x:v>https://hirelinedancers.com/cities/nashville-tn/</x:v>
      </x:c>
    </x:row>
    <x:row r="7" ht="36" customHeight="1">
      <x:c r="A7" s="23" t="str">
        <x:v>Fort Worth</x:v>
      </x:c>
      <x:c r="B7" s="23" t="str">
        <x:v>TX</x:v>
      </x:c>
      <x:c r="C7" s="23" t="str">
        <x:v>P1</x:v>
      </x:c>
      <x:c r="D7" s="23" t="n">
        <x:v>10</x:v>
      </x:c>
      <x:c r="E7" s="23" t="n">
        <x:f>COUNTIF('Instructor Pipeline'!$D$6:$D$115,A7)</x:f>
        <x:v>10</x:v>
      </x:c>
      <x:c r="F7" s="23" t="n">
        <x:f>COUNTIFS('Instructor Pipeline'!$D$6:$D$115,A7,'Instructor Pipeline'!$T$6:$T$115,"&lt;&gt;")</x:f>
        <x:v>0</x:v>
      </x:c>
      <x:c r="G7" s="23" t="n">
        <x:f>COUNTIFS('Instructor Pipeline'!$D$6:$D$115,A7,'Instructor Pipeline'!$Y$6:$Y$115,"Yes")</x:f>
        <x:v>0</x:v>
      </x:c>
      <x:c r="H7" s="23" t="n">
        <x:f>COUNTIFS('Content &amp; Signup'!$C$6:$C$115,A7,'Content &amp; Signup'!$K$6:$K$115,"Yes")</x:f>
        <x:v>0</x:v>
      </x:c>
      <x:c r="I7" s="23" t="n">
        <x:f>COUNTIFS('Content &amp; Signup'!$C$6:$C$115,A7,'Content &amp; Signup'!$Q$6:$Q$115,"Yes")</x:f>
        <x:v>0</x:v>
      </x:c>
      <x:c r="J7" s="23" t="n">
        <x:f>COUNTIFS('Content &amp; Signup'!$C$6:$C$115,A7,'Content &amp; Signup'!$S$6:$S$115,"Published")</x:f>
        <x:v>0</x:v>
      </x:c>
      <x:c r="K7" s="23" t="n">
        <x:f>MAX(0,D7-E7)</x:f>
        <x:v>0</x:v>
      </x:c>
      <x:c r="L7" s="23" t="str">
        <x:v>Start with Suzy Ashmore and the Billy Bob's instructors, then use event referrals for the last two.</x:v>
      </x:c>
      <x:c r="M7" s="25" t="str">
        <x:v>https://hirelinedancers.com/cities/fort-worth-tx/</x:v>
      </x:c>
    </x:row>
    <x:row r="8" ht="36" customHeight="1">
      <x:c r="A8" s="23" t="str">
        <x:v>Austin</x:v>
      </x:c>
      <x:c r="B8" s="23" t="str">
        <x:v>TX</x:v>
      </x:c>
      <x:c r="C8" s="23" t="str">
        <x:v>P1</x:v>
      </x:c>
      <x:c r="D8" s="23" t="n">
        <x:v>10</x:v>
      </x:c>
      <x:c r="E8" s="23" t="n">
        <x:f>COUNTIF('Instructor Pipeline'!$D$6:$D$115,A8)</x:f>
        <x:v>10</x:v>
      </x:c>
      <x:c r="F8" s="23" t="n">
        <x:f>COUNTIFS('Instructor Pipeline'!$D$6:$D$115,A8,'Instructor Pipeline'!$T$6:$T$115,"&lt;&gt;")</x:f>
        <x:v>0</x:v>
      </x:c>
      <x:c r="G8" s="23" t="n">
        <x:f>COUNTIFS('Instructor Pipeline'!$D$6:$D$115,A8,'Instructor Pipeline'!$Y$6:$Y$115,"Yes")</x:f>
        <x:v>0</x:v>
      </x:c>
      <x:c r="H8" s="23" t="n">
        <x:f>COUNTIFS('Content &amp; Signup'!$C$6:$C$115,A8,'Content &amp; Signup'!$K$6:$K$115,"Yes")</x:f>
        <x:v>0</x:v>
      </x:c>
      <x:c r="I8" s="23" t="n">
        <x:f>COUNTIFS('Content &amp; Signup'!$C$6:$C$115,A8,'Content &amp; Signup'!$Q$6:$Q$115,"Yes")</x:f>
        <x:v>0</x:v>
      </x:c>
      <x:c r="J8" s="23" t="n">
        <x:f>COUNTIFS('Content &amp; Signup'!$C$6:$C$115,A8,'Content &amp; Signup'!$S$6:$S$115,"Published")</x:f>
        <x:v>0</x:v>
      </x:c>
      <x:c r="K8" s="23" t="n">
        <x:f>MAX(0,D8-E8)</x:f>
        <x:v>0</x:v>
      </x:c>
      <x:c r="L8" s="23" t="str">
        <x:v>Lead with event-ready brands, then contact the current regional-roster instructors.</x:v>
      </x:c>
      <x:c r="M8" s="25" t="str">
        <x:v>https://hirelinedancers.com/cities/austin-tx/</x:v>
      </x:c>
    </x:row>
    <x:row r="9" ht="36" customHeight="1">
      <x:c r="A9" s="23" t="str">
        <x:v>Dallas</x:v>
      </x:c>
      <x:c r="B9" s="23" t="str">
        <x:v>TX</x:v>
      </x:c>
      <x:c r="C9" s="23" t="str">
        <x:v>P1</x:v>
      </x:c>
      <x:c r="D9" s="23" t="n">
        <x:v>10</x:v>
      </x:c>
      <x:c r="E9" s="23" t="n">
        <x:f>COUNTIF('Instructor Pipeline'!$D$6:$D$115,A9)</x:f>
        <x:v>10</x:v>
      </x:c>
      <x:c r="F9" s="23" t="n">
        <x:f>COUNTIFS('Instructor Pipeline'!$D$6:$D$115,A9,'Instructor Pipeline'!$T$6:$T$115,"&lt;&gt;")</x:f>
        <x:v>0</x:v>
      </x:c>
      <x:c r="G9" s="23" t="n">
        <x:f>COUNTIFS('Instructor Pipeline'!$D$6:$D$115,A9,'Instructor Pipeline'!$Y$6:$Y$115,"Yes")</x:f>
        <x:v>0</x:v>
      </x:c>
      <x:c r="H9" s="23" t="n">
        <x:f>COUNTIFS('Content &amp; Signup'!$C$6:$C$115,A9,'Content &amp; Signup'!$K$6:$K$115,"Yes")</x:f>
        <x:v>0</x:v>
      </x:c>
      <x:c r="I9" s="23" t="n">
        <x:f>COUNTIFS('Content &amp; Signup'!$C$6:$C$115,A9,'Content &amp; Signup'!$Q$6:$Q$115,"Yes")</x:f>
        <x:v>0</x:v>
      </x:c>
      <x:c r="J9" s="23" t="n">
        <x:f>COUNTIFS('Content &amp; Signup'!$C$6:$C$115,A9,'Content &amp; Signup'!$S$6:$S$115,"Published")</x:f>
        <x:v>0</x:v>
      </x:c>
      <x:c r="K9" s="23" t="n">
        <x:f>MAX(0,D9-E9)</x:f>
        <x:v>0</x:v>
      </x:c>
      <x:c r="L9" s="23" t="str">
        <x:v>Start with 410 Line Dancers, then work the direct-email Texas roster.</x:v>
      </x:c>
      <x:c r="M9" s="25" t="str">
        <x:v>https://hirelinedancers.com/cities/dallas-tx/</x:v>
      </x:c>
    </x:row>
    <x:row r="10" ht="36" customHeight="1">
      <x:c r="A10" s="23" t="str">
        <x:v>Houston</x:v>
      </x:c>
      <x:c r="B10" s="23" t="str">
        <x:v>TX</x:v>
      </x:c>
      <x:c r="C10" s="23" t="str">
        <x:v>P1</x:v>
      </x:c>
      <x:c r="D10" s="23" t="n">
        <x:v>10</x:v>
      </x:c>
      <x:c r="E10" s="23" t="n">
        <x:f>COUNTIF('Instructor Pipeline'!$D$6:$D$115,A10)</x:f>
        <x:v>10</x:v>
      </x:c>
      <x:c r="F10" s="23" t="n">
        <x:f>COUNTIFS('Instructor Pipeline'!$D$6:$D$115,A10,'Instructor Pipeline'!$T$6:$T$115,"&lt;&gt;")</x:f>
        <x:v>0</x:v>
      </x:c>
      <x:c r="G10" s="23" t="n">
        <x:f>COUNTIFS('Instructor Pipeline'!$D$6:$D$115,A10,'Instructor Pipeline'!$Y$6:$Y$115,"Yes")</x:f>
        <x:v>0</x:v>
      </x:c>
      <x:c r="H10" s="23" t="n">
        <x:f>COUNTIFS('Content &amp; Signup'!$C$6:$C$115,A10,'Content &amp; Signup'!$K$6:$K$115,"Yes")</x:f>
        <x:v>0</x:v>
      </x:c>
      <x:c r="I10" s="23" t="n">
        <x:f>COUNTIFS('Content &amp; Signup'!$C$6:$C$115,A10,'Content &amp; Signup'!$Q$6:$Q$115,"Yes")</x:f>
        <x:v>0</x:v>
      </x:c>
      <x:c r="J10" s="23" t="n">
        <x:f>COUNTIFS('Content &amp; Signup'!$C$6:$C$115,A10,'Content &amp; Signup'!$S$6:$S$115,"Published")</x:f>
        <x:v>0</x:v>
      </x:c>
      <x:c r="K10" s="23" t="n">
        <x:f>MAX(0,D10-E10)</x:f>
        <x:v>0</x:v>
      </x:c>
      <x:c r="L10" s="23" t="str">
        <x:v>Prioritize community leaders, viral creators, and instructors with private-event offers.</x:v>
      </x:c>
      <x:c r="M10" s="25" t="str">
        <x:v>https://hirelinedancers.com/cities/houston-tx/</x:v>
      </x:c>
    </x:row>
    <x:row r="11" ht="36" customHeight="1">
      <x:c r="A11" s="23" t="str">
        <x:v>San Francisco Bay Area</x:v>
      </x:c>
      <x:c r="B11" s="23" t="str">
        <x:v>CA</x:v>
      </x:c>
      <x:c r="C11" s="23" t="str">
        <x:v>P1</x:v>
      </x:c>
      <x:c r="D11" s="23" t="n">
        <x:v>10</x:v>
      </x:c>
      <x:c r="E11" s="23" t="n">
        <x:f>COUNTIF('Instructor Pipeline'!$D$6:$D$115,A11)</x:f>
        <x:v>10</x:v>
      </x:c>
      <x:c r="F11" s="23" t="n">
        <x:f>COUNTIFS('Instructor Pipeline'!$D$6:$D$115,A11,'Instructor Pipeline'!$T$6:$T$115,"&lt;&gt;")</x:f>
        <x:v>0</x:v>
      </x:c>
      <x:c r="G11" s="23" t="n">
        <x:f>COUNTIFS('Instructor Pipeline'!$D$6:$D$115,A11,'Instructor Pipeline'!$Y$6:$Y$115,"Yes")</x:f>
        <x:v>0</x:v>
      </x:c>
      <x:c r="H11" s="23" t="n">
        <x:f>COUNTIFS('Content &amp; Signup'!$C$6:$C$115,A11,'Content &amp; Signup'!$K$6:$K$115,"Yes")</x:f>
        <x:v>0</x:v>
      </x:c>
      <x:c r="I11" s="23" t="n">
        <x:f>COUNTIFS('Content &amp; Signup'!$C$6:$C$115,A11,'Content &amp; Signup'!$Q$6:$Q$115,"Yes")</x:f>
        <x:v>0</x:v>
      </x:c>
      <x:c r="J11" s="23" t="n">
        <x:f>COUNTIFS('Content &amp; Signup'!$C$6:$C$115,A11,'Content &amp; Signup'!$S$6:$S$115,"Published")</x:f>
        <x:v>0</x:v>
      </x:c>
      <x:c r="K11" s="23" t="n">
        <x:f>MAX(0,D11-E11)</x:f>
        <x:v>0</x:v>
      </x:c>
      <x:c r="L11" s="23" t="str">
        <x:v>Start with Lisa, Michael Metzger, Sean, and Joel, then request warm referrals through organizations.</x:v>
      </x:c>
      <x:c r="M11" s="25" t="str">
        <x:v>https://hirelinedancers.com/cities/san-francisco-ca/</x:v>
      </x:c>
    </x:row>
    <x:row r="12" ht="36" customHeight="1">
      <x:c r="A12" s="23" t="str">
        <x:v>New York City metro</x:v>
      </x:c>
      <x:c r="B12" s="23" t="str">
        <x:v>NY</x:v>
      </x:c>
      <x:c r="C12" s="23" t="str">
        <x:v>P1</x:v>
      </x:c>
      <x:c r="D12" s="23" t="n">
        <x:v>10</x:v>
      </x:c>
      <x:c r="E12" s="23" t="n">
        <x:f>COUNTIF('Instructor Pipeline'!$D$6:$D$115,A12)</x:f>
        <x:v>10</x:v>
      </x:c>
      <x:c r="F12" s="23" t="n">
        <x:f>COUNTIFS('Instructor Pipeline'!$D$6:$D$115,A12,'Instructor Pipeline'!$T$6:$T$115,"&lt;&gt;")</x:f>
        <x:v>0</x:v>
      </x:c>
      <x:c r="G12" s="23" t="n">
        <x:f>COUNTIFS('Instructor Pipeline'!$D$6:$D$115,A12,'Instructor Pipeline'!$Y$6:$Y$115,"Yes")</x:f>
        <x:v>0</x:v>
      </x:c>
      <x:c r="H12" s="23" t="n">
        <x:f>COUNTIFS('Content &amp; Signup'!$C$6:$C$115,A12,'Content &amp; Signup'!$K$6:$K$115,"Yes")</x:f>
        <x:v>0</x:v>
      </x:c>
      <x:c r="I12" s="23" t="n">
        <x:f>COUNTIFS('Content &amp; Signup'!$C$6:$C$115,A12,'Content &amp; Signup'!$Q$6:$Q$115,"Yes")</x:f>
        <x:v>0</x:v>
      </x:c>
      <x:c r="J12" s="23" t="n">
        <x:f>COUNTIFS('Content &amp; Signup'!$C$6:$C$115,A12,'Content &amp; Signup'!$S$6:$S$115,"Published")</x:f>
        <x:v>0</x:v>
      </x:c>
      <x:c r="K12" s="23" t="n">
        <x:f>MAX(0,D12-E12)</x:f>
        <x:v>0</x:v>
      </x:c>
      <x:c r="L12" s="23" t="str">
        <x:v>Start with Country City and Do Si Don'tcha, then expand through Long Island contacts.</x:v>
      </x:c>
      <x:c r="M12" s="25" t="str">
        <x:v>https://hirelinedancers.com/cities/new-york-ny/</x:v>
      </x:c>
    </x:row>
    <x:row r="13" ht="36" customHeight="1">
      <x:c r="A13" s="23" t="str">
        <x:v>Phoenix and Scottsdale</x:v>
      </x:c>
      <x:c r="B13" s="23" t="str">
        <x:v>AZ</x:v>
      </x:c>
      <x:c r="C13" s="23" t="str">
        <x:v>P1</x:v>
      </x:c>
      <x:c r="D13" s="23" t="n">
        <x:v>10</x:v>
      </x:c>
      <x:c r="E13" s="23" t="n">
        <x:f>COUNTIF('Instructor Pipeline'!$D$6:$D$115,A13)</x:f>
        <x:v>10</x:v>
      </x:c>
      <x:c r="F13" s="23" t="n">
        <x:f>COUNTIFS('Instructor Pipeline'!$D$6:$D$115,A13,'Instructor Pipeline'!$T$6:$T$115,"&lt;&gt;")</x:f>
        <x:v>0</x:v>
      </x:c>
      <x:c r="G13" s="23" t="n">
        <x:f>COUNTIFS('Instructor Pipeline'!$D$6:$D$115,A13,'Instructor Pipeline'!$Y$6:$Y$115,"Yes")</x:f>
        <x:v>0</x:v>
      </x:c>
      <x:c r="H13" s="23" t="n">
        <x:f>COUNTIFS('Content &amp; Signup'!$C$6:$C$115,A13,'Content &amp; Signup'!$K$6:$K$115,"Yes")</x:f>
        <x:v>0</x:v>
      </x:c>
      <x:c r="I13" s="23" t="n">
        <x:f>COUNTIFS('Content &amp; Signup'!$C$6:$C$115,A13,'Content &amp; Signup'!$Q$6:$Q$115,"Yes")</x:f>
        <x:v>0</x:v>
      </x:c>
      <x:c r="J13" s="23" t="n">
        <x:f>COUNTIFS('Content &amp; Signup'!$C$6:$C$115,A13,'Content &amp; Signup'!$S$6:$S$115,"Published")</x:f>
        <x:v>0</x:v>
      </x:c>
      <x:c r="K13" s="23" t="n">
        <x:f>MAX(0,D13-E13)</x:f>
        <x:v>0</x:v>
      </x:c>
      <x:c r="L13" s="23" t="str">
        <x:v>Start with Adam Herbel and Jackie, then work studio and team emails.</x:v>
      </x:c>
      <x:c r="M13" s="25" t="str">
        <x:v>https://hirelinedancers.com/cities/phoenix-az/</x:v>
      </x:c>
    </x:row>
    <x:row r="14" ht="36" customHeight="1">
      <x:c r="A14" s="23" t="str">
        <x:v>Atlanta</x:v>
      </x:c>
      <x:c r="B14" s="23" t="str">
        <x:v>GA</x:v>
      </x:c>
      <x:c r="C14" s="23" t="str">
        <x:v>P1</x:v>
      </x:c>
      <x:c r="D14" s="23" t="n">
        <x:v>10</x:v>
      </x:c>
      <x:c r="E14" s="23" t="n">
        <x:f>COUNTIF('Instructor Pipeline'!$D$6:$D$115,A14)</x:f>
        <x:v>10</x:v>
      </x:c>
      <x:c r="F14" s="23" t="n">
        <x:f>COUNTIFS('Instructor Pipeline'!$D$6:$D$115,A14,'Instructor Pipeline'!$T$6:$T$115,"&lt;&gt;")</x:f>
        <x:v>0</x:v>
      </x:c>
      <x:c r="G14" s="23" t="n">
        <x:f>COUNTIFS('Instructor Pipeline'!$D$6:$D$115,A14,'Instructor Pipeline'!$Y$6:$Y$115,"Yes")</x:f>
        <x:v>0</x:v>
      </x:c>
      <x:c r="H14" s="23" t="n">
        <x:f>COUNTIFS('Content &amp; Signup'!$C$6:$C$115,A14,'Content &amp; Signup'!$K$6:$K$115,"Yes")</x:f>
        <x:v>0</x:v>
      </x:c>
      <x:c r="I14" s="23" t="n">
        <x:f>COUNTIFS('Content &amp; Signup'!$C$6:$C$115,A14,'Content &amp; Signup'!$Q$6:$Q$115,"Yes")</x:f>
        <x:v>0</x:v>
      </x:c>
      <x:c r="J14" s="23" t="n">
        <x:f>COUNTIFS('Content &amp; Signup'!$C$6:$C$115,A14,'Content &amp; Signup'!$S$6:$S$115,"Published")</x:f>
        <x:v>0</x:v>
      </x:c>
      <x:c r="K14" s="23" t="n">
        <x:f>MAX(0,D14-E14)</x:f>
        <x:v>0</x:v>
      </x:c>
      <x:c r="L14" s="23" t="str">
        <x:v>Use social outreach for the two viral creators, then email the established instructors.</x:v>
      </x:c>
      <x:c r="M14" s="25" t="str">
        <x:v>https://hirelinedancers.com/cities/atlanta-ga/</x:v>
      </x:c>
    </x:row>
    <x:row r="15" ht="36" customHeight="1">
      <x:c r="A15" s="23" t="str">
        <x:v>Charlotte</x:v>
      </x:c>
      <x:c r="B15" s="23" t="str">
        <x:v>NC</x:v>
      </x:c>
      <x:c r="C15" s="23" t="str">
        <x:v>P1</x:v>
      </x:c>
      <x:c r="D15" s="23" t="n">
        <x:v>10</x:v>
      </x:c>
      <x:c r="E15" s="23" t="n">
        <x:f>COUNTIF('Instructor Pipeline'!$D$6:$D$115,A15)</x:f>
        <x:v>10</x:v>
      </x:c>
      <x:c r="F15" s="23" t="n">
        <x:f>COUNTIFS('Instructor Pipeline'!$D$6:$D$115,A15,'Instructor Pipeline'!$T$6:$T$115,"&lt;&gt;")</x:f>
        <x:v>0</x:v>
      </x:c>
      <x:c r="G15" s="23" t="n">
        <x:f>COUNTIFS('Instructor Pipeline'!$D$6:$D$115,A15,'Instructor Pipeline'!$Y$6:$Y$115,"Yes")</x:f>
        <x:v>0</x:v>
      </x:c>
      <x:c r="H15" s="23" t="n">
        <x:f>COUNTIFS('Content &amp; Signup'!$C$6:$C$115,A15,'Content &amp; Signup'!$K$6:$K$115,"Yes")</x:f>
        <x:v>0</x:v>
      </x:c>
      <x:c r="I15" s="23" t="n">
        <x:f>COUNTIFS('Content &amp; Signup'!$C$6:$C$115,A15,'Content &amp; Signup'!$Q$6:$Q$115,"Yes")</x:f>
        <x:v>0</x:v>
      </x:c>
      <x:c r="J15" s="23" t="n">
        <x:f>COUNTIFS('Content &amp; Signup'!$C$6:$C$115,A15,'Content &amp; Signup'!$S$6:$S$115,"Published")</x:f>
        <x:v>0</x:v>
      </x:c>
      <x:c r="K15" s="23" t="n">
        <x:f>MAX(0,D15-E15)</x:f>
        <x:v>0</x:v>
      </x:c>
      <x:c r="L15" s="23" t="str">
        <x:v>Lead with the Coyote Joe's network, then contact the direct-email community leaders.</x:v>
      </x:c>
      <x:c r="M15" s="25" t="str">
        <x:v>https://hirelinedancers.com/cities/charlotte-nc/</x:v>
      </x:c>
    </x:row>
    <x:row r="16" ht="36" customHeight="1">
      <x:c r="A16" s="23" t="str">
        <x:v>Las Vegas</x:v>
      </x:c>
      <x:c r="B16" s="23" t="str">
        <x:v>NV</x:v>
      </x:c>
      <x:c r="C16" s="23" t="str">
        <x:v>P1</x:v>
      </x:c>
      <x:c r="D16" s="23" t="n">
        <x:v>10</x:v>
      </x:c>
      <x:c r="E16" s="23" t="n">
        <x:f>COUNTIF('Instructor Pipeline'!$D$6:$D$115,A16)</x:f>
        <x:v>10</x:v>
      </x:c>
      <x:c r="F16" s="23" t="n">
        <x:f>COUNTIFS('Instructor Pipeline'!$D$6:$D$115,A16,'Instructor Pipeline'!$T$6:$T$115,"&lt;&gt;")</x:f>
        <x:v>0</x:v>
      </x:c>
      <x:c r="G16" s="23" t="n">
        <x:f>COUNTIFS('Instructor Pipeline'!$D$6:$D$115,A16,'Instructor Pipeline'!$Y$6:$Y$115,"Yes")</x:f>
        <x:v>0</x:v>
      </x:c>
      <x:c r="H16" s="23" t="n">
        <x:f>COUNTIFS('Content &amp; Signup'!$C$6:$C$115,A16,'Content &amp; Signup'!$K$6:$K$115,"Yes")</x:f>
        <x:v>0</x:v>
      </x:c>
      <x:c r="I16" s="23" t="n">
        <x:f>COUNTIFS('Content &amp; Signup'!$C$6:$C$115,A16,'Content &amp; Signup'!$Q$6:$Q$115,"Yes")</x:f>
        <x:v>0</x:v>
      </x:c>
      <x:c r="J16" s="23" t="n">
        <x:f>COUNTIFS('Content &amp; Signup'!$C$6:$C$115,A16,'Content &amp; Signup'!$S$6:$S$115,"Published")</x:f>
        <x:v>0</x:v>
      </x:c>
      <x:c r="K16" s="23" t="n">
        <x:f>MAX(0,D16-E16)</x:f>
        <x:v>0</x:v>
      </x:c>
      <x:c r="L16" s="23" t="str">
        <x:v>Start with venue and business emails, then request introductions for recreation and nightlife instructors.</x:v>
      </x:c>
      <x:c r="M16" s="25" t="str">
        <x:v>https://hirelinedancers.com/cities/las-vegas-nv/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b47aa81d35144d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24.440000534057617" hidden="0" customWidth="1"/>
    <x:col min="4" max="4" width="24.440000534057617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6.110000610351562" hidden="0" customWidth="1"/>
  </x:cols>
  <x:sheetData>
    <x:row r="1" ht="30" customHeight="1">
      <x:c r="A1" s="4" t="str">
        <x:v>Workflow, Definitions, and Dropdown Lists</x:v>
      </x:c>
      <x:c r="B1" s="4" t="str">
        <x:v>Workflow, Definitions, and Dropdown Lists</x:v>
      </x:c>
      <x:c r="C1" s="4" t="str">
        <x:v>Workflow, Definitions, and Dropdown Lists</x:v>
      </x:c>
      <x:c r="D1" s="4" t="str">
        <x:v>Workflow, Definitions, and Dropdown Lists</x:v>
      </x:c>
      <x:c r="E1" s="4" t="str">
        <x:v>Workflow, Definitions, and Dropdown Lists</x:v>
      </x:c>
      <x:c r="F1" s="4" t="str">
        <x:v>Workflow, Definitions, and Dropdown Lists</x:v>
      </x:c>
      <x:c r="G1" s="4" t="str">
        <x:v>Workflow, Definitions, and Dropdown Lists</x:v>
      </x:c>
      <x:c r="H1" s="4" t="str">
        <x:v>Workflow, Definitions, and Dropdown Lists</x:v>
      </x:c>
      <x:c r="I1" s="4" t="str">
        <x:v>Workflow, Definitions, and Dropdown Lists</x:v>
      </x:c>
      <x:c r="J1" s="4" t="str">
        <x:v>Workflow, Definitions, and Dropdown Lists</x:v>
      </x:c>
      <x:c r="K1" s="4" t="str">
        <x:v>Workflow, Definitions, and Dropdown Lists</x:v>
      </x:c>
      <x:c r="L1" s="4" t="str">
        <x:v>Workflow, Definitions, and Dropdown Lists</x:v>
      </x:c>
      <x:c r="M1" s="4" t="str">
        <x:v>Workflow, Definitions, and Dropdown Lists</x:v>
      </x:c>
      <x:c r="N1" s="4" t="str">
        <x:v>Workflow, Definitions, and Dropdown Lists</x:v>
      </x:c>
    </x:row>
    <x:row r="2" ht="22.5" customHeight="1">
      <x:c r="A2" s="8" t="str">
        <x:v>The left side is the operating guide. The right side powers the workbook dropdowns and can be edited when the process changes.</x:v>
      </x:c>
      <x:c r="B2" s="8" t="str">
        <x:v>The left side is the operating guide. The right side powers the workbook dropdowns and can be edited when the process changes.</x:v>
      </x:c>
      <x:c r="C2" s="8" t="str">
        <x:v>The left side is the operating guide. The right side powers the workbook dropdowns and can be edited when the process changes.</x:v>
      </x:c>
      <x:c r="D2" s="8" t="str">
        <x:v>The left side is the operating guide. The right side powers the workbook dropdowns and can be edited when the process changes.</x:v>
      </x:c>
      <x:c r="E2" s="8" t="str">
        <x:v>The left side is the operating guide. The right side powers the workbook dropdowns and can be edited when the process changes.</x:v>
      </x:c>
      <x:c r="F2" s="8" t="str">
        <x:v>The left side is the operating guide. The right side powers the workbook dropdowns and can be edited when the process changes.</x:v>
      </x:c>
      <x:c r="G2" s="8" t="str">
        <x:v>The left side is the operating guide. The right side powers the workbook dropdowns and can be edited when the process changes.</x:v>
      </x:c>
      <x:c r="H2" s="8" t="str">
        <x:v>The left side is the operating guide. The right side powers the workbook dropdowns and can be edited when the process changes.</x:v>
      </x:c>
      <x:c r="I2" s="8" t="str">
        <x:v>The left side is the operating guide. The right side powers the workbook dropdowns and can be edited when the process changes.</x:v>
      </x:c>
      <x:c r="J2" s="8" t="str">
        <x:v>The left side is the operating guide. The right side powers the workbook dropdowns and can be edited when the process changes.</x:v>
      </x:c>
      <x:c r="K2" s="8" t="str">
        <x:v>The left side is the operating guide. The right side powers the workbook dropdowns and can be edited when the process changes.</x:v>
      </x:c>
      <x:c r="L2" s="8" t="str">
        <x:v>The left side is the operating guide. The right side powers the workbook dropdowns and can be edited when the process changes.</x:v>
      </x:c>
      <x:c r="M2" s="8" t="str">
        <x:v>The left side is the operating guide. The right side powers the workbook dropdowns and can be edited when the process changes.</x:v>
      </x:c>
      <x:c r="N2" s="8" t="str">
        <x:v>The left side is the operating guide. The right side powers the workbook dropdowns and can be edited when the process changes.</x:v>
      </x:c>
    </x:row>
    <x:row r="4" ht="25.5" customHeight="1">
      <x:c r="A4" s="18" t="str">
        <x:v>Stage</x:v>
      </x:c>
      <x:c r="B4" s="18" t="str">
        <x:v>Use when</x:v>
      </x:c>
      <x:c r="C4" s="18" t="str">
        <x:v>Default next action</x:v>
      </x:c>
      <x:c r="D4" s="18" t="str">
        <x:v>Guardrail</x:v>
      </x:c>
      <x:c r="F4" s="18" t="str">
        <x:v>Pipeline stages</x:v>
      </x:c>
      <x:c r="G4" s="18" t="str">
        <x:v>Priorities</x:v>
      </x:c>
      <x:c r="H4" s="18" t="str">
        <x:v>Channels</x:v>
      </x:c>
      <x:c r="I4" s="18" t="str">
        <x:v>Reply outcomes</x:v>
      </x:c>
      <x:c r="J4" s="18" t="str">
        <x:v>Decisions</x:v>
      </x:c>
      <x:c r="K4" s="18" t="str">
        <x:v>Yes / No</x:v>
      </x:c>
      <x:c r="L4" s="18" t="str">
        <x:v>Content permissions</x:v>
      </x:c>
      <x:c r="M4" s="18" t="str">
        <x:v>Content formats</x:v>
      </x:c>
      <x:c r="N4" s="18" t="str">
        <x:v>Profile statuses</x:v>
      </x:c>
    </x:row>
    <x:row r="5" ht="28.5" customHeight="1">
      <x:c r="A5" s="23" t="str">
        <x:v>Researched</x:v>
      </x:c>
      <x:c r="B5" s="23" t="str">
        <x:v>A public business source is recorded.</x:v>
      </x:c>
      <x:c r="C5" s="23" t="str">
        <x:v>Review fit and personalize.</x:v>
      </x:c>
      <x:c r="D5" s="23" t="str">
        <x:v>Do not contact until source and channel are checked.</x:v>
      </x:c>
      <x:c r="F5" s="23" t="str">
        <x:v>Researched</x:v>
      </x:c>
      <x:c r="G5" s="23" t="str">
        <x:v>P1</x:v>
      </x:c>
      <x:c r="H5" s="23" t="str">
        <x:v>Email</x:v>
      </x:c>
      <x:c r="I5" s="23" t="str">
        <x:v>No reply</x:v>
      </x:c>
      <x:c r="J5" s="23" t="str">
        <x:v>Unknown</x:v>
      </x:c>
      <x:c r="K5" s="23" t="str">
        <x:v>No</x:v>
      </x:c>
      <x:c r="L5" s="23" t="str">
        <x:v>Not discussed</x:v>
      </x:c>
      <x:c r="M5" s="23" t="str">
        <x:v>Not selected</x:v>
      </x:c>
      <x:c r="N5" s="23" t="str">
        <x:v>Not started</x:v>
      </x:c>
    </x:row>
    <x:row r="6" ht="28.5" customHeight="1">
      <x:c r="A6" s="23" t="str">
        <x:v>Ready</x:v>
      </x:c>
      <x:c r="B6" s="23" t="str">
        <x:v>Personalization and channel are approved.</x:v>
      </x:c>
      <x:c r="C6" s="23" t="str">
        <x:v>Send one manual first touch.</x:v>
      </x:c>
      <x:c r="D6" s="23" t="str">
        <x:v>Use a public business channel only.</x:v>
      </x:c>
      <x:c r="F6" s="23" t="str">
        <x:v>Ready</x:v>
      </x:c>
      <x:c r="G6" s="23" t="str">
        <x:v>P2</x:v>
      </x:c>
      <x:c r="H6" s="23" t="str">
        <x:v>Instagram</x:v>
      </x:c>
      <x:c r="I6" s="23" t="str">
        <x:v>Positive</x:v>
      </x:c>
      <x:c r="J6" s="23" t="str">
        <x:v>Yes</x:v>
      </x:c>
      <x:c r="K6" s="23" t="str">
        <x:v>Yes</x:v>
      </x:c>
      <x:c r="L6" s="23" t="str">
        <x:v>Profile only</x:v>
      </x:c>
      <x:c r="M6" s="23" t="str">
        <x:v>Profile announcement</x:v>
      </x:c>
      <x:c r="N6" s="23" t="str">
        <x:v>Draft</x:v>
      </x:c>
    </x:row>
    <x:row r="7" ht="28.5" customHeight="1">
      <x:c r="A7" s="23" t="str">
        <x:v>First contact</x:v>
      </x:c>
      <x:c r="B7" s="23" t="str">
        <x:v>The first message was sent.</x:v>
      </x:c>
      <x:c r="C7" s="23" t="str">
        <x:v>Set a follow-up for day 6.</x:v>
      </x:c>
      <x:c r="D7" s="23" t="str">
        <x:v>Record the exact date and channel.</x:v>
      </x:c>
      <x:c r="F7" s="23" t="str">
        <x:v>First contact</x:v>
      </x:c>
      <x:c r="G7" s="23" t="str">
        <x:v>P3</x:v>
      </x:c>
      <x:c r="H7" s="23" t="str">
        <x:v>TikTok</x:v>
      </x:c>
      <x:c r="I7" s="23" t="str">
        <x:v>Neutral</x:v>
      </x:c>
      <x:c r="J7" s="23" t="str">
        <x:v>Maybe</x:v>
      </x:c>
      <x:c r="L7" s="23" t="str">
        <x:v>Profile + organic</x:v>
      </x:c>
      <x:c r="M7" s="23" t="str">
        <x:v>Event invitation</x:v>
      </x:c>
      <x:c r="N7" s="23" t="str">
        <x:v>Submitted</x:v>
      </x:c>
    </x:row>
    <x:row r="8" ht="28.5" customHeight="1">
      <x:c r="A8" s="23" t="str">
        <x:v>Follow-up</x:v>
      </x:c>
      <x:c r="B8" s="23" t="str">
        <x:v>A polite follow-up was sent.</x:v>
      </x:c>
      <x:c r="C8" s="23" t="str">
        <x:v>One final follow-up near day 13.</x:v>
      </x:c>
      <x:c r="D8" s="23" t="str">
        <x:v>Maximum two follow-ups without a reply.</x:v>
      </x:c>
      <x:c r="F8" s="23" t="str">
        <x:v>Follow-up</x:v>
      </x:c>
      <x:c r="H8" s="23" t="str">
        <x:v>Contact form</x:v>
      </x:c>
      <x:c r="I8" s="23" t="str">
        <x:v>Not now</x:v>
      </x:c>
      <x:c r="J8" s="23" t="str">
        <x:v>No</x:v>
      </x:c>
      <x:c r="L8" s="23" t="str">
        <x:v>Paid usage separate</x:v>
      </x:c>
      <x:c r="M8" s="23" t="str">
        <x:v>Teaching demo</x:v>
      </x:c>
      <x:c r="N8" s="23" t="str">
        <x:v>In review</x:v>
      </x:c>
    </x:row>
    <x:row r="9" ht="28.5" customHeight="1">
      <x:c r="A9" s="23" t="str">
        <x:v>Replied</x:v>
      </x:c>
      <x:c r="B9" s="23" t="str">
        <x:v>Any reply was received.</x:v>
      </x:c>
      <x:c r="C9" s="23" t="str">
        <x:v>Record outcome and next step.</x:v>
      </x:c>
      <x:c r="D9" s="23" t="str">
        <x:v>Stop the automated cadence.</x:v>
      </x:c>
      <x:c r="F9" s="23" t="str">
        <x:v>Replied</x:v>
      </x:c>
      <x:c r="H9" s="23" t="str">
        <x:v>Phone</x:v>
      </x:c>
      <x:c r="I9" s="23" t="str">
        <x:v>Declined</x:v>
      </x:c>
      <x:c r="L9" s="23" t="str">
        <x:v>Declined</x:v>
      </x:c>
      <x:c r="M9" s="23" t="str">
        <x:v>Employee referral</x:v>
      </x:c>
      <x:c r="N9" s="23" t="str">
        <x:v>Approved</x:v>
      </x:c>
    </x:row>
    <x:row r="10" ht="28.5" customHeight="1">
      <x:c r="A10" s="23" t="str">
        <x:v>Meeting</x:v>
      </x:c>
      <x:c r="B10" s="23" t="str">
        <x:v>A call or onboarding discussion is scheduled.</x:v>
      </x:c>
      <x:c r="C10" s="23" t="str">
        <x:v>Prepare signup and profile steps.</x:v>
      </x:c>
      <x:c r="D10" s="23" t="str">
        <x:v>Do not imply agreement before it is explicit.</x:v>
      </x:c>
      <x:c r="F10" s="23" t="str">
        <x:v>Meeting</x:v>
      </x:c>
      <x:c r="H10" s="23" t="str">
        <x:v>Referral</x:v>
      </x:c>
      <x:c r="I10" s="23" t="str">
        <x:v>Opted out</x:v>
      </x:c>
      <x:c r="M10" s="23" t="str">
        <x:v>Post-event proof</x:v>
      </x:c>
      <x:c r="N10" s="23" t="str">
        <x:v>Published</x:v>
      </x:c>
    </x:row>
    <x:row r="11" ht="28.5" customHeight="1">
      <x:c r="A11" s="23" t="str">
        <x:v>Active partner</x:v>
      </x:c>
      <x:c r="B11" s="23" t="str">
        <x:v>The instructor is signed up and active.</x:v>
      </x:c>
      <x:c r="C11" s="23" t="str">
        <x:v>Support profile and content milestones.</x:v>
      </x:c>
      <x:c r="D11" s="23" t="str">
        <x:v>Keep permissions and publication status current.</x:v>
      </x:c>
      <x:c r="F11" s="23" t="str">
        <x:v>Active partner</x:v>
      </x:c>
      <x:c r="H11" s="23" t="str">
        <x:v>Venue referral</x:v>
      </x:c>
      <x:c r="M11" s="23" t="str">
        <x:v>Other</x:v>
      </x:c>
      <x:c r="N11" s="23" t="str">
        <x:v>Revisions needed</x:v>
      </x:c>
    </x:row>
    <x:row r="12" ht="28.5" customHeight="1">
      <x:c r="A12" s="23" t="str">
        <x:v>Not now</x:v>
      </x:c>
      <x:c r="B12" s="23" t="str">
        <x:v>The prospect asked for a later date.</x:v>
      </x:c>
      <x:c r="C12" s="23" t="str">
        <x:v>Record the agreed revisit date.</x:v>
      </x:c>
      <x:c r="D12" s="23" t="str">
        <x:v>Do not continue the normal cadence.</x:v>
      </x:c>
      <x:c r="F12" s="23" t="str">
        <x:v>Not now</x:v>
      </x:c>
      <x:c r="H12" s="23" t="str">
        <x:v>Booking platform</x:v>
      </x:c>
      <x:c r="N12" s="23" t="str">
        <x:v>Declined</x:v>
      </x:c>
    </x:row>
    <x:row r="13" ht="28.5" customHeight="1">
      <x:c r="A13" s="23" t="str">
        <x:v>Do not contact</x:v>
      </x:c>
      <x:c r="B13" s="23" t="str">
        <x:v>The prospect opted out or the contact is inappropriate.</x:v>
      </x:c>
      <x:c r="C13" s="23" t="str">
        <x:v>No action.</x:v>
      </x:c>
      <x:c r="D13" s="23" t="str">
        <x:v>Do not contact again.</x:v>
      </x:c>
      <x:c r="F13" s="23" t="str">
        <x:v>Do not contact</x:v>
      </x:c>
    </x:row>
    <x:row r="14" ht="28.5" customHeight="1"/>
    <x:row r="15" ht="28.5" customHeight="1"/>
    <x:row r="16" ht="28.5" customHeight="1">
      <x:c r="A16" s="18" t="str">
        <x:v>Metric</x:v>
      </x:c>
      <x:c r="B16" s="18" t="str">
        <x:v>Definition</x:v>
      </x:c>
      <x:c r="C16" s="18" t="str">
        <x:v>Owner action</x:v>
      </x:c>
      <x:c r="D16" s="18" t="str">
        <x:v>Common mistake</x:v>
      </x:c>
      <x:c r="F16" s="18" t="str">
        <x:v>Record types</x:v>
      </x:c>
      <x:c r="G16" s="18" t="str">
        <x:v>Research confidence</x:v>
      </x:c>
      <x:c r="H16" s="18" t="str">
        <x:v>Membership statuses</x:v>
      </x:c>
    </x:row>
    <x:row r="17" ht="28.5" customHeight="1">
      <x:c r="A17" s="23" t="str">
        <x:v>Agreed</x:v>
      </x:c>
      <x:c r="B17" s="23" t="str">
        <x:v>Participation decision is Yes.</x:v>
      </x:c>
      <x:c r="C17" s="23" t="str">
        <x:v>Confirm exactly what they agreed to.</x:v>
      </x:c>
      <x:c r="D17" s="23" t="str">
        <x:v>Treating a positive reply as consent.</x:v>
      </x:c>
      <x:c r="F17" s="23" t="str">
        <x:v>Independent instructor</x:v>
      </x:c>
      <x:c r="G17" s="23" t="str">
        <x:v>Verified official site</x:v>
      </x:c>
      <x:c r="H17" s="23" t="str">
        <x:v>Not started</x:v>
      </x:c>
    </x:row>
    <x:row r="18" ht="28.5" customHeight="1">
      <x:c r="A18" s="23" t="str">
        <x:v>Content received</x:v>
      </x:c>
      <x:c r="B18" s="23" t="str">
        <x:v>A usable asset is in hand.</x:v>
      </x:c>
      <x:c r="C18" s="23" t="str">
        <x:v>Check permission and approval status.</x:v>
      </x:c>
      <x:c r="D18" s="23" t="str">
        <x:v>Posting before approval.</x:v>
      </x:c>
      <x:c r="F18" s="23" t="str">
        <x:v>Instructor team</x:v>
      </x:c>
      <x:c r="G18" s="23" t="str">
        <x:v>Verified public social</x:v>
      </x:c>
      <x:c r="H18" s="23" t="str">
        <x:v>Trialing</x:v>
      </x:c>
    </x:row>
    <x:row r="19" ht="28.5" customHeight="1">
      <x:c r="A19" s="23" t="str">
        <x:v>Content posted</x:v>
      </x:c>
      <x:c r="B19" s="23" t="str">
        <x:v>The approved asset is publicly posted.</x:v>
      </x:c>
      <x:c r="C19" s="23" t="str">
        <x:v>Record the post URL and tag status.</x:v>
      </x:c>
      <x:c r="D19" s="23" t="str">
        <x:v>Leaving the URL blank.</x:v>
      </x:c>
      <x:c r="F19" s="23" t="str">
        <x:v>Studio / school</x:v>
      </x:c>
      <x:c r="G19" s="23" t="str">
        <x:v>Verified association list</x:v>
      </x:c>
      <x:c r="H19" s="23" t="str">
        <x:v>Active</x:v>
      </x:c>
    </x:row>
    <x:row r="20" ht="28.5" customHeight="1">
      <x:c r="A20" s="23" t="str">
        <x:v>Signed up</x:v>
      </x:c>
      <x:c r="B20" s="23" t="str">
        <x:v>Signup completed is Yes.</x:v>
      </x:c>
      <x:c r="C20" s="23" t="str">
        <x:v>Move to profile submission or review.</x:v>
      </x:c>
      <x:c r="D20" s="23" t="str">
        <x:v>Counting a link send as signup.</x:v>
      </x:c>
      <x:c r="F20" s="23" t="str">
        <x:v>Venue-based instructor lead</x:v>
      </x:c>
      <x:c r="G20" s="23" t="str">
        <x:v>Venue or event route</x:v>
      </x:c>
      <x:c r="H20" s="23" t="str">
        <x:v>Past due</x:v>
      </x:c>
    </x:row>
    <x:row r="21" ht="28.5" customHeight="1">
      <x:c r="A21" s="23" t="str">
        <x:v>Published</x:v>
      </x:c>
      <x:c r="B21" s="23" t="str">
        <x:v>Profile status is Published.</x:v>
      </x:c>
      <x:c r="C21" s="23" t="str">
        <x:v>Record the public profile URL.</x:v>
      </x:c>
      <x:c r="D21" s="23" t="str">
        <x:v>Counting a submitted profile as live.</x:v>
      </x:c>
      <x:c r="F21" s="23" t="str">
        <x:v>Region connector</x:v>
      </x:c>
      <x:c r="G21" s="23" t="str">
        <x:v>Booking platform</x:v>
      </x:c>
      <x:c r="H21" s="23" t="str">
        <x:v>Canceled</x:v>
      </x:c>
    </x:row>
    <x:row r="22" ht="28.5" customHeight="1">
      <x:c r="G22" s="23" t="str">
        <x:v>Editorial profile</x:v>
      </x:c>
      <x:c r="H22" s="23" t="str">
        <x:v>Not applicable</x:v>
      </x:c>
    </x:row>
    <x:row r="23">
      <x:c r="G23" s="23" t="str">
        <x:v>Needs verification</x:v>
      </x:c>
    </x:row>
  </x:sheetData>
  <x:mergeCells>
    <x:mergeCell ref="A1:N1"/>
    <x:mergeCell ref="A2:N2"/>
  </x:mergeCells>
  <x:pageMargins left="0.7" right="0.7" top="0.75" bottom="0.75" header="0.3" footer="0.3"/>
  <x:tableParts count="2">
    <x:tablePart xmlns:r="http://schemas.openxmlformats.org/officeDocument/2006/relationships" r:id="R3c1e4f91eebc4336"/>
    <x:tablePart xmlns:r="http://schemas.openxmlformats.org/officeDocument/2006/relationships" r:id="Rb564d14612a64361"/>
  </x:tableParts>
</x:worksheet>
</file>